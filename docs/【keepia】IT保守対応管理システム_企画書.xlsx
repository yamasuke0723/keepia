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BA0C6C2F-17FD-4A36-937B-D84B4B42DBC9}" xr6:coauthVersionLast="47" xr6:coauthVersionMax="47" xr10:uidLastSave="{00000000-0000-0000-0000-000000000000}"/>
  <bookViews>
    <workbookView xWindow="28680" yWindow="-120" windowWidth="29040" windowHeight="15720" xr2:uid="{00000000-000D-0000-FFFF-FFFF00000000}"/>
  </bookViews>
  <sheets>
    <sheet name="01_企画概要" sheetId="2" r:id="rId1"/>
    <sheet name="02_対象と課題" sheetId="3" r:id="rId2"/>
    <sheet name="03_利用者と業務" sheetId="4" r:id="rId3"/>
    <sheet name="04_機能と範囲" sheetId="5" r:id="rId4"/>
    <sheet name="05_品質と技術" sheetId="6" r:id="rId5"/>
    <sheet name="06_導入と評価" sheetId="7" r:id="rId6"/>
    <sheet name="07_開発計画" sheetId="1" r:id="rId7"/>
    <sheet name="08_リスクと確認" sheetId="8" r:id="rId8"/>
  </sheets>
  <calcPr calcId="191029"/>
</workbook>
</file>

<file path=xl/calcChain.xml><?xml version="1.0" encoding="utf-8"?>
<calcChain xmlns="http://schemas.openxmlformats.org/spreadsheetml/2006/main">
  <c r="AD39" i="1" l="1"/>
  <c r="AC39" i="1"/>
  <c r="AB39" i="1"/>
  <c r="AA39" i="1"/>
  <c r="Z39" i="1"/>
  <c r="Y39" i="1"/>
  <c r="X39" i="1"/>
  <c r="W39" i="1"/>
  <c r="V39" i="1"/>
  <c r="U39" i="1"/>
  <c r="T39" i="1"/>
  <c r="S39" i="1"/>
  <c r="R39" i="1"/>
  <c r="Q39" i="1"/>
  <c r="P39" i="1"/>
  <c r="O39" i="1"/>
  <c r="N39" i="1"/>
  <c r="M39" i="1"/>
  <c r="L39" i="1"/>
  <c r="K39" i="1"/>
  <c r="I39" i="1"/>
  <c r="AD38" i="1"/>
  <c r="AC38" i="1"/>
  <c r="AB38" i="1"/>
  <c r="AA38" i="1"/>
  <c r="Z38" i="1"/>
  <c r="Y38" i="1"/>
  <c r="X38" i="1"/>
  <c r="W38" i="1"/>
  <c r="V38" i="1"/>
  <c r="U38" i="1"/>
  <c r="T38" i="1"/>
  <c r="S38" i="1"/>
  <c r="R38" i="1"/>
  <c r="Q38" i="1"/>
  <c r="P38" i="1"/>
  <c r="O38" i="1"/>
  <c r="N38" i="1"/>
  <c r="M38" i="1"/>
  <c r="L38" i="1"/>
  <c r="K38" i="1"/>
  <c r="I38" i="1"/>
  <c r="AD37" i="1"/>
  <c r="AC37" i="1"/>
  <c r="AB37" i="1"/>
  <c r="AA37" i="1"/>
  <c r="Z37" i="1"/>
  <c r="Y37" i="1"/>
  <c r="X37" i="1"/>
  <c r="W37" i="1"/>
  <c r="V37" i="1"/>
  <c r="U37" i="1"/>
  <c r="T37" i="1"/>
  <c r="S37" i="1"/>
  <c r="R37" i="1"/>
  <c r="Q37" i="1"/>
  <c r="P37" i="1"/>
  <c r="O37" i="1"/>
  <c r="N37" i="1"/>
  <c r="M37" i="1"/>
  <c r="L37" i="1"/>
  <c r="K37" i="1"/>
  <c r="I37" i="1"/>
  <c r="AD36" i="1"/>
  <c r="AC36" i="1"/>
  <c r="AB36" i="1"/>
  <c r="AA36" i="1"/>
  <c r="Z36" i="1"/>
  <c r="Y36" i="1"/>
  <c r="X36" i="1"/>
  <c r="W36" i="1"/>
  <c r="V36" i="1"/>
  <c r="U36" i="1"/>
  <c r="T36" i="1"/>
  <c r="S36" i="1"/>
  <c r="R36" i="1"/>
  <c r="Q36" i="1"/>
  <c r="P36" i="1"/>
  <c r="O36" i="1"/>
  <c r="N36" i="1"/>
  <c r="M36" i="1"/>
  <c r="L36" i="1"/>
  <c r="K36" i="1"/>
  <c r="I36" i="1"/>
  <c r="AD35" i="1"/>
  <c r="AC35" i="1"/>
  <c r="AB35" i="1"/>
  <c r="AA35" i="1"/>
  <c r="Z35" i="1"/>
  <c r="Y35" i="1"/>
  <c r="X35" i="1"/>
  <c r="W35" i="1"/>
  <c r="V35" i="1"/>
  <c r="U35" i="1"/>
  <c r="T35" i="1"/>
  <c r="S35" i="1"/>
  <c r="R35" i="1"/>
  <c r="Q35" i="1"/>
  <c r="P35" i="1"/>
  <c r="O35" i="1"/>
  <c r="N35" i="1"/>
  <c r="M35" i="1"/>
  <c r="L35" i="1"/>
  <c r="K35" i="1"/>
  <c r="I35" i="1"/>
  <c r="AD34" i="1"/>
  <c r="AC34" i="1"/>
  <c r="AB34" i="1"/>
  <c r="AA34" i="1"/>
  <c r="Z34" i="1"/>
  <c r="Y34" i="1"/>
  <c r="X34" i="1"/>
  <c r="W34" i="1"/>
  <c r="V34" i="1"/>
  <c r="U34" i="1"/>
  <c r="T34" i="1"/>
  <c r="S34" i="1"/>
  <c r="R34" i="1"/>
  <c r="Q34" i="1"/>
  <c r="P34" i="1"/>
  <c r="O34" i="1"/>
  <c r="N34" i="1"/>
  <c r="M34" i="1"/>
  <c r="L34" i="1"/>
  <c r="K34" i="1"/>
  <c r="I34" i="1"/>
  <c r="AD33" i="1"/>
  <c r="AC33" i="1"/>
  <c r="AB33" i="1"/>
  <c r="AA33" i="1"/>
  <c r="Z33" i="1"/>
  <c r="Y33" i="1"/>
  <c r="X33" i="1"/>
  <c r="W33" i="1"/>
  <c r="V33" i="1"/>
  <c r="U33" i="1"/>
  <c r="T33" i="1"/>
  <c r="S33" i="1"/>
  <c r="R33" i="1"/>
  <c r="Q33" i="1"/>
  <c r="P33" i="1"/>
  <c r="O33" i="1"/>
  <c r="N33" i="1"/>
  <c r="M33" i="1"/>
  <c r="L33" i="1"/>
  <c r="K33" i="1"/>
  <c r="I33" i="1"/>
  <c r="AD32" i="1"/>
  <c r="AC32" i="1"/>
  <c r="AB32" i="1"/>
  <c r="AA32" i="1"/>
  <c r="Z32" i="1"/>
  <c r="Y32" i="1"/>
  <c r="X32" i="1"/>
  <c r="W32" i="1"/>
  <c r="V32" i="1"/>
  <c r="U32" i="1"/>
  <c r="T32" i="1"/>
  <c r="S32" i="1"/>
  <c r="R32" i="1"/>
  <c r="Q32" i="1"/>
  <c r="P32" i="1"/>
  <c r="O32" i="1"/>
  <c r="N32" i="1"/>
  <c r="M32" i="1"/>
  <c r="L32" i="1"/>
  <c r="K32" i="1"/>
  <c r="I32" i="1"/>
  <c r="AD31" i="1"/>
  <c r="AC31" i="1"/>
  <c r="AB31" i="1"/>
  <c r="AA31" i="1"/>
  <c r="Z31" i="1"/>
  <c r="Y31" i="1"/>
  <c r="X31" i="1"/>
  <c r="W31" i="1"/>
  <c r="V31" i="1"/>
  <c r="U31" i="1"/>
  <c r="T31" i="1"/>
  <c r="S31" i="1"/>
  <c r="R31" i="1"/>
  <c r="Q31" i="1"/>
  <c r="P31" i="1"/>
  <c r="O31" i="1"/>
  <c r="N31" i="1"/>
  <c r="M31" i="1"/>
  <c r="L31" i="1"/>
  <c r="K31" i="1"/>
  <c r="I31" i="1"/>
  <c r="AD30" i="1"/>
  <c r="AC30" i="1"/>
  <c r="AB30" i="1"/>
  <c r="AA30" i="1"/>
  <c r="Z30" i="1"/>
  <c r="Y30" i="1"/>
  <c r="X30" i="1"/>
  <c r="W30" i="1"/>
  <c r="V30" i="1"/>
  <c r="U30" i="1"/>
  <c r="T30" i="1"/>
  <c r="S30" i="1"/>
  <c r="R30" i="1"/>
  <c r="Q30" i="1"/>
  <c r="P30" i="1"/>
  <c r="O30" i="1"/>
  <c r="N30" i="1"/>
  <c r="M30" i="1"/>
  <c r="L30" i="1"/>
  <c r="K30" i="1"/>
  <c r="I30" i="1"/>
  <c r="AD29" i="1"/>
  <c r="AC29" i="1"/>
  <c r="AB29" i="1"/>
  <c r="AA29" i="1"/>
  <c r="Z29" i="1"/>
  <c r="Y29" i="1"/>
  <c r="X29" i="1"/>
  <c r="W29" i="1"/>
  <c r="V29" i="1"/>
  <c r="U29" i="1"/>
  <c r="T29" i="1"/>
  <c r="S29" i="1"/>
  <c r="R29" i="1"/>
  <c r="Q29" i="1"/>
  <c r="P29" i="1"/>
  <c r="O29" i="1"/>
  <c r="N29" i="1"/>
  <c r="M29" i="1"/>
  <c r="L29" i="1"/>
  <c r="K29" i="1"/>
  <c r="I29" i="1"/>
  <c r="AD28" i="1"/>
  <c r="AC28" i="1"/>
  <c r="AB28" i="1"/>
  <c r="AA28" i="1"/>
  <c r="Z28" i="1"/>
  <c r="Y28" i="1"/>
  <c r="X28" i="1"/>
  <c r="W28" i="1"/>
  <c r="V28" i="1"/>
  <c r="U28" i="1"/>
  <c r="T28" i="1"/>
  <c r="S28" i="1"/>
  <c r="R28" i="1"/>
  <c r="Q28" i="1"/>
  <c r="P28" i="1"/>
  <c r="O28" i="1"/>
  <c r="N28" i="1"/>
  <c r="M28" i="1"/>
  <c r="L28" i="1"/>
  <c r="K28" i="1"/>
  <c r="I28" i="1"/>
  <c r="AD27" i="1"/>
  <c r="AC27" i="1"/>
  <c r="AB27" i="1"/>
  <c r="AA27" i="1"/>
  <c r="Z27" i="1"/>
  <c r="Y27" i="1"/>
  <c r="X27" i="1"/>
  <c r="W27" i="1"/>
  <c r="V27" i="1"/>
  <c r="U27" i="1"/>
  <c r="T27" i="1"/>
  <c r="S27" i="1"/>
  <c r="R27" i="1"/>
  <c r="Q27" i="1"/>
  <c r="P27" i="1"/>
  <c r="O27" i="1"/>
  <c r="N27" i="1"/>
  <c r="M27" i="1"/>
  <c r="L27" i="1"/>
  <c r="K27" i="1"/>
  <c r="I27" i="1"/>
  <c r="AD26" i="1"/>
  <c r="AC26" i="1"/>
  <c r="AB26" i="1"/>
  <c r="AA26" i="1"/>
  <c r="Z26" i="1"/>
  <c r="Y26" i="1"/>
  <c r="X26" i="1"/>
  <c r="W26" i="1"/>
  <c r="V26" i="1"/>
  <c r="U26" i="1"/>
  <c r="T26" i="1"/>
  <c r="S26" i="1"/>
  <c r="R26" i="1"/>
  <c r="Q26" i="1"/>
  <c r="P26" i="1"/>
  <c r="O26" i="1"/>
  <c r="N26" i="1"/>
  <c r="M26" i="1"/>
  <c r="L26" i="1"/>
  <c r="K26" i="1"/>
  <c r="I26" i="1"/>
  <c r="AD25" i="1"/>
  <c r="AC25" i="1"/>
  <c r="AB25" i="1"/>
  <c r="AA25" i="1"/>
  <c r="Z25" i="1"/>
  <c r="Y25" i="1"/>
  <c r="X25" i="1"/>
  <c r="W25" i="1"/>
  <c r="V25" i="1"/>
  <c r="U25" i="1"/>
  <c r="T25" i="1"/>
  <c r="S25" i="1"/>
  <c r="R25" i="1"/>
  <c r="Q25" i="1"/>
  <c r="P25" i="1"/>
  <c r="O25" i="1"/>
  <c r="N25" i="1"/>
  <c r="M25" i="1"/>
  <c r="L25" i="1"/>
  <c r="K25" i="1"/>
  <c r="I25" i="1"/>
  <c r="AD24" i="1"/>
  <c r="AC24" i="1"/>
  <c r="AB24" i="1"/>
  <c r="AA24" i="1"/>
  <c r="Z24" i="1"/>
  <c r="Y24" i="1"/>
  <c r="X24" i="1"/>
  <c r="W24" i="1"/>
  <c r="V24" i="1"/>
  <c r="U24" i="1"/>
  <c r="T24" i="1"/>
  <c r="S24" i="1"/>
  <c r="R24" i="1"/>
  <c r="Q24" i="1"/>
  <c r="P24" i="1"/>
  <c r="O24" i="1"/>
  <c r="N24" i="1"/>
  <c r="M24" i="1"/>
  <c r="L24" i="1"/>
  <c r="K24" i="1"/>
  <c r="I24" i="1"/>
  <c r="AD23" i="1"/>
  <c r="AC23" i="1"/>
  <c r="AB23" i="1"/>
  <c r="AA23" i="1"/>
  <c r="Z23" i="1"/>
  <c r="Y23" i="1"/>
  <c r="X23" i="1"/>
  <c r="W23" i="1"/>
  <c r="V23" i="1"/>
  <c r="U23" i="1"/>
  <c r="T23" i="1"/>
  <c r="S23" i="1"/>
  <c r="R23" i="1"/>
  <c r="Q23" i="1"/>
  <c r="P23" i="1"/>
  <c r="O23" i="1"/>
  <c r="N23" i="1"/>
  <c r="M23" i="1"/>
  <c r="L23" i="1"/>
  <c r="K23" i="1"/>
  <c r="I23" i="1"/>
  <c r="AD22" i="1"/>
  <c r="AC22" i="1"/>
  <c r="AB22" i="1"/>
  <c r="AA22" i="1"/>
  <c r="Z22" i="1"/>
  <c r="Y22" i="1"/>
  <c r="X22" i="1"/>
  <c r="W22" i="1"/>
  <c r="V22" i="1"/>
  <c r="U22" i="1"/>
  <c r="T22" i="1"/>
  <c r="S22" i="1"/>
  <c r="R22" i="1"/>
  <c r="Q22" i="1"/>
  <c r="P22" i="1"/>
  <c r="O22" i="1"/>
  <c r="N22" i="1"/>
  <c r="M22" i="1"/>
  <c r="L22" i="1"/>
  <c r="K22" i="1"/>
  <c r="I22" i="1"/>
  <c r="AD21" i="1"/>
  <c r="AC21" i="1"/>
  <c r="AB21" i="1"/>
  <c r="AA21" i="1"/>
  <c r="Z21" i="1"/>
  <c r="Y21" i="1"/>
  <c r="X21" i="1"/>
  <c r="W21" i="1"/>
  <c r="V21" i="1"/>
  <c r="U21" i="1"/>
  <c r="T21" i="1"/>
  <c r="S21" i="1"/>
  <c r="R21" i="1"/>
  <c r="Q21" i="1"/>
  <c r="P21" i="1"/>
  <c r="O21" i="1"/>
  <c r="N21" i="1"/>
  <c r="M21" i="1"/>
  <c r="L21" i="1"/>
  <c r="K21" i="1"/>
  <c r="I21" i="1"/>
  <c r="AD20" i="1"/>
  <c r="AC20" i="1"/>
  <c r="AB20" i="1"/>
  <c r="AA20" i="1"/>
  <c r="Z20" i="1"/>
  <c r="Y20" i="1"/>
  <c r="X20" i="1"/>
  <c r="W20" i="1"/>
  <c r="V20" i="1"/>
  <c r="U20" i="1"/>
  <c r="T20" i="1"/>
  <c r="S20" i="1"/>
  <c r="R20" i="1"/>
  <c r="Q20" i="1"/>
  <c r="P20" i="1"/>
  <c r="O20" i="1"/>
  <c r="N20" i="1"/>
  <c r="M20" i="1"/>
  <c r="L20" i="1"/>
  <c r="K20" i="1"/>
  <c r="I20" i="1"/>
  <c r="I19" i="1"/>
  <c r="I18" i="1"/>
  <c r="I17" i="1"/>
  <c r="I16" i="1"/>
  <c r="I15" i="1"/>
  <c r="I14" i="1"/>
  <c r="I13" i="1"/>
  <c r="I12" i="1"/>
  <c r="I11" i="1"/>
  <c r="I10" i="1"/>
  <c r="G10" i="1"/>
  <c r="W6" i="1"/>
  <c r="S6" i="1"/>
  <c r="O6" i="1"/>
  <c r="K6" i="1"/>
  <c r="U10" i="1" l="1"/>
  <c r="AA6" i="1"/>
  <c r="P10" i="1"/>
  <c r="H10" i="1"/>
  <c r="G11" i="1" l="1"/>
  <c r="AE10" i="1"/>
  <c r="S10" i="1"/>
  <c r="N10" i="1"/>
  <c r="AA10" i="1"/>
  <c r="O10" i="1"/>
  <c r="Z10" i="1"/>
  <c r="Y10" i="1"/>
  <c r="X10" i="1"/>
  <c r="W10" i="1"/>
  <c r="V10" i="1"/>
  <c r="K10" i="1"/>
  <c r="M10" i="1"/>
  <c r="L10" i="1"/>
  <c r="AF10" i="1"/>
  <c r="T10" i="1"/>
  <c r="AD10" i="1"/>
  <c r="R10" i="1"/>
  <c r="AC10" i="1"/>
  <c r="Q10" i="1"/>
  <c r="AB10" i="1"/>
  <c r="AF11" i="1" l="1"/>
  <c r="T11" i="1"/>
  <c r="R11" i="1"/>
  <c r="AC11" i="1"/>
  <c r="Q11" i="1"/>
  <c r="AB11" i="1"/>
  <c r="P11" i="1"/>
  <c r="AA11" i="1"/>
  <c r="O11" i="1"/>
  <c r="Z11" i="1"/>
  <c r="N11" i="1"/>
  <c r="H11" i="1"/>
  <c r="G12" i="1" s="1"/>
  <c r="X11" i="1"/>
  <c r="W11" i="1"/>
  <c r="L11" i="1"/>
  <c r="V11" i="1"/>
  <c r="U11" i="1"/>
  <c r="K11" i="1"/>
  <c r="AE12" i="1" l="1"/>
  <c r="S12" i="1"/>
  <c r="O12" i="1"/>
  <c r="Z12" i="1"/>
  <c r="N12" i="1"/>
  <c r="Y12" i="1"/>
  <c r="H12" i="1"/>
  <c r="G13" i="1" s="1"/>
  <c r="W12" i="1"/>
  <c r="AD11" i="1"/>
  <c r="M11" i="1"/>
  <c r="S11" i="1"/>
  <c r="Y11" i="1"/>
  <c r="AE11" i="1"/>
  <c r="AD13" i="1" l="1"/>
  <c r="R13" i="1"/>
  <c r="N13" i="1"/>
  <c r="Y13" i="1"/>
  <c r="M13" i="1"/>
  <c r="H13" i="1"/>
  <c r="G14" i="1" s="1"/>
  <c r="AA12" i="1"/>
  <c r="U12" i="1"/>
  <c r="P12" i="1"/>
  <c r="V12" i="1"/>
  <c r="AB12" i="1"/>
  <c r="AF12" i="1"/>
  <c r="L12" i="1"/>
  <c r="K12" i="1"/>
  <c r="Q12" i="1"/>
  <c r="T12" i="1"/>
  <c r="AC12" i="1"/>
  <c r="X12" i="1"/>
  <c r="R12" i="1"/>
  <c r="M12" i="1"/>
  <c r="AD12" i="1"/>
  <c r="AC14" i="1" l="1"/>
  <c r="Q14" i="1"/>
  <c r="L14" i="1"/>
  <c r="W14" i="1"/>
  <c r="K14" i="1"/>
  <c r="H14" i="1"/>
  <c r="G15" i="1" s="1"/>
  <c r="Z13" i="1"/>
  <c r="AE13" i="1"/>
  <c r="O13" i="1"/>
  <c r="S13" i="1"/>
  <c r="AA13" i="1"/>
  <c r="T13" i="1"/>
  <c r="V13" i="1"/>
  <c r="U13" i="1"/>
  <c r="W13" i="1"/>
  <c r="AF13" i="1"/>
  <c r="P13" i="1"/>
  <c r="K13" i="1"/>
  <c r="AB13" i="1"/>
  <c r="L13" i="1"/>
  <c r="Q13" i="1"/>
  <c r="X13" i="1"/>
  <c r="AC13" i="1"/>
  <c r="H15" i="1" l="1"/>
  <c r="G16" i="1" s="1"/>
  <c r="T15" i="1"/>
  <c r="Y15" i="1"/>
  <c r="M15" i="1"/>
  <c r="X15" i="1"/>
  <c r="L15" i="1"/>
  <c r="AE15" i="1"/>
  <c r="AD15" i="1"/>
  <c r="S15" i="1"/>
  <c r="R15" i="1"/>
  <c r="AC15" i="1"/>
  <c r="X14" i="1"/>
  <c r="M14" i="1"/>
  <c r="Z14" i="1"/>
  <c r="AE14" i="1"/>
  <c r="P14" i="1"/>
  <c r="R14" i="1"/>
  <c r="S14" i="1"/>
  <c r="Y14" i="1"/>
  <c r="U14" i="1"/>
  <c r="N14" i="1"/>
  <c r="AD14" i="1"/>
  <c r="O14" i="1"/>
  <c r="T14" i="1"/>
  <c r="AA14" i="1"/>
  <c r="AF14" i="1"/>
  <c r="V14" i="1"/>
  <c r="AB14" i="1"/>
  <c r="AA16" i="1" l="1"/>
  <c r="O16" i="1"/>
  <c r="N16" i="1"/>
  <c r="Y16" i="1"/>
  <c r="M16" i="1"/>
  <c r="AF16" i="1"/>
  <c r="S16" i="1"/>
  <c r="X16" i="1"/>
  <c r="L16" i="1"/>
  <c r="W16" i="1"/>
  <c r="K16" i="1"/>
  <c r="V16" i="1"/>
  <c r="U16" i="1"/>
  <c r="H16" i="1"/>
  <c r="G17" i="1" s="1"/>
  <c r="T16" i="1"/>
  <c r="AE16" i="1"/>
  <c r="AD16" i="1"/>
  <c r="AC16" i="1"/>
  <c r="AB16" i="1"/>
  <c r="R16" i="1"/>
  <c r="Q16" i="1"/>
  <c r="P16" i="1"/>
  <c r="Q15" i="1"/>
  <c r="N15" i="1"/>
  <c r="AF15" i="1"/>
  <c r="Z15" i="1"/>
  <c r="U15" i="1"/>
  <c r="O15" i="1"/>
  <c r="V15" i="1"/>
  <c r="AA15" i="1"/>
  <c r="K15" i="1"/>
  <c r="P15" i="1"/>
  <c r="W15" i="1"/>
  <c r="AB15" i="1"/>
  <c r="Z17" i="1" l="1"/>
  <c r="N17" i="1"/>
  <c r="H17" i="1"/>
  <c r="G18" i="1" s="1"/>
  <c r="AF17" i="1"/>
  <c r="Z16" i="1"/>
  <c r="H18" i="1" l="1"/>
  <c r="Z18" i="1" s="1"/>
  <c r="U17" i="1"/>
  <c r="O17" i="1"/>
  <c r="V17" i="1"/>
  <c r="Q17" i="1"/>
  <c r="K17" i="1"/>
  <c r="AA17" i="1"/>
  <c r="W17" i="1"/>
  <c r="AC17" i="1"/>
  <c r="R17" i="1"/>
  <c r="P17" i="1"/>
  <c r="AE17" i="1"/>
  <c r="AB17" i="1"/>
  <c r="L17" i="1"/>
  <c r="AD17" i="1"/>
  <c r="X17" i="1"/>
  <c r="S17" i="1"/>
  <c r="M17" i="1"/>
  <c r="T17" i="1"/>
  <c r="Y17" i="1"/>
  <c r="V18" i="1" l="1"/>
  <c r="O18" i="1"/>
  <c r="AD18" i="1"/>
  <c r="P18" i="1"/>
  <c r="K18" i="1"/>
  <c r="Q18" i="1"/>
  <c r="W18" i="1"/>
  <c r="R18" i="1"/>
  <c r="L18" i="1"/>
  <c r="S18" i="1"/>
  <c r="X18" i="1"/>
  <c r="AE18" i="1"/>
  <c r="M18" i="1"/>
  <c r="AB18" i="1"/>
  <c r="U18" i="1"/>
  <c r="N18" i="1"/>
  <c r="AC18" i="1"/>
  <c r="AA18" i="1"/>
  <c r="T18" i="1"/>
  <c r="Y18" i="1"/>
  <c r="AF18" i="1"/>
</calcChain>
</file>

<file path=xl/sharedStrings.xml><?xml version="1.0" encoding="utf-8"?>
<sst xmlns="http://schemas.openxmlformats.org/spreadsheetml/2006/main" count="311" uniqueCount="290">
  <si>
    <t>企画概要</t>
  </si>
  <si>
    <t>IT保守対応管理システム 企画書 第1版  目的と提供価値</t>
  </si>
  <si>
    <t>文書情報</t>
  </si>
  <si>
    <t>文書版</t>
  </si>
  <si>
    <t>第1版</t>
  </si>
  <si>
    <t>作成日</t>
  </si>
  <si>
    <t>開発体制</t>
  </si>
  <si>
    <t>個人開発 1名</t>
  </si>
  <si>
    <t>開発方式</t>
  </si>
  <si>
    <t>ウォーターフォール型</t>
  </si>
  <si>
    <t>想定技術</t>
  </si>
  <si>
    <t>Java Spring Bootを中心としたWebアプリケーション</t>
  </si>
  <si>
    <t>企画の位置付け</t>
  </si>
  <si>
    <t>企業への提案と初期版の開発に向けた企画</t>
  </si>
  <si>
    <t>1 企画の概要</t>
  </si>
  <si>
    <t>IT保守会社が、顧客からの問い合わせや障害報告、契約ごとの対応期限、作業記録、月次報告を一つのサービスで管理できるシステムを開発する。</t>
  </si>
  <si>
    <t>初期版では、顧客がWebから問い合わせを登録し、保守担当者が対応を進め、その記録を月次報告書に反映する業務を完成させる。顧客と担当者が同じ対応状況を確認でき、管理者は初回返信の期限超過や担当者の負荷を把握できるようにする。</t>
  </si>
  <si>
    <t>導入効果は、初回返信までの時間、期限超過率、月次報告書の作成時間で評価する。まずは保守会社1社の限定的な試行導入を想定し、実際の業務に合うことを確認してから販売範囲を広げる。</t>
  </si>
  <si>
    <t>3 目的と提供価値</t>
  </si>
  <si>
    <t>保守会社には、案件の対応状況と契約条件を一緒に確認できる環境を提供する。担当者が交代しても履歴を追えるようにし、対応漏れと報告書への転記作業を減らす。</t>
  </si>
  <si>
    <t>顧客企業には、自社の問い合わせの状態と返信を確認できる窓口を提供する。社内向けのメモを分離し、顧客には共有が必要な情報を表示する。</t>
  </si>
  <si>
    <t>営業提案では、「契約ごとの初回返信期限を管理し、対応記録から顧客向けの月次報告を作れる」という一連の業務を見せる。担当者の作業時間は報告と業務分析に利用し、初期版で料金請求を自動化することは想定しない。</t>
  </si>
  <si>
    <t>対象と課題</t>
  </si>
  <si>
    <t>IT保守対応管理システム 企画書 第1版  導入先と課題仮説</t>
  </si>
  <si>
    <t>2 対象企業と想定する課題</t>
  </si>
  <si>
    <t>2 1 対象企業</t>
  </si>
  <si>
    <t>中小企業の社内システム、業務アプリケーション、ネットワークなどの保守を複数社から受託しているIT保守会社を主な対象とする。導入判断をする人は保守部門の責任者または経営者、日常的に利用する人は保守担当者と顧客企業の窓口担当者を想定する。</t>
  </si>
  <si>
    <t>初期の検証規模は、保守担当者5〜20名、顧客企業10〜50社、月間問い合わせ100〜1,000件を仮に置く。これは設計検討用の想定であり、市場調査で得た数値ではない。</t>
  </si>
  <si>
    <t>2 2 課題仮説</t>
  </si>
  <si>
    <t>以下の運用がある企業に提案し、ヒアリングで実態を確認する。</t>
  </si>
  <si>
    <t>想定する課題</t>
  </si>
  <si>
    <t>業務への影響</t>
  </si>
  <si>
    <t>本システムでの改善案</t>
  </si>
  <si>
    <t>問い合わせがメールや担当者ごとの記録に分散している</t>
  </si>
  <si>
    <t>未対応案件や引き継ぎ状況を把握しにくい</t>
  </si>
  <si>
    <t>問い合わせ、担当者、状態を一つの一覧で管理する</t>
  </si>
  <si>
    <t>顧客ごとに契約の対応時間が異なる</t>
  </si>
  <si>
    <t>初回返信の期限を個別に確認する必要がある</t>
  </si>
  <si>
    <t>契約条件から期限を求め、接近と超過を表示する</t>
  </si>
  <si>
    <t>顧客から進捗確認が繰り返し届く</t>
  </si>
  <si>
    <t>状況説明に作業時間を使う</t>
  </si>
  <si>
    <t>顧客専用ページで公開済みの対応状況を共有する</t>
  </si>
  <si>
    <t>作業記録を月末に集め直している</t>
  </si>
  <si>
    <t>報告書作成に時間がかかり、記載漏れが生じる</t>
  </si>
  <si>
    <t>日々の対応記録と作業時間から報告書を作る</t>
  </si>
  <si>
    <t>担当者に問い合わせが偏っている</t>
  </si>
  <si>
    <t>対応の滞留や属人化が起きる</t>
  </si>
  <si>
    <t>担当者ごとの未完了件数と期限を表示する</t>
  </si>
  <si>
    <t>利用者と業務</t>
  </si>
  <si>
    <t>IT保守対応管理システム 企画書 第1版  利用者 データ分離 業務フロー</t>
  </si>
  <si>
    <t>4 利用者とサービスの構造</t>
  </si>
  <si>
    <t>4 1 利用者</t>
  </si>
  <si>
    <t>利用者</t>
  </si>
  <si>
    <t>主な役割</t>
  </si>
  <si>
    <t>保守会社の管理者</t>
  </si>
  <si>
    <t>顧客と契約の登録、担当者管理、担当割当、対応状況の確認、報告書の確認</t>
  </si>
  <si>
    <t>保守担当者</t>
  </si>
  <si>
    <t>問い合わせ対応、顧客への返信、社内メモ、作業時間と対応内容の記録</t>
  </si>
  <si>
    <t>顧客企業の窓口担当者</t>
  </si>
  <si>
    <t>自社の問い合わせ登録、状況確認、返信、公開された月次報告の閲覧</t>
  </si>
  <si>
    <t>サービス運営者</t>
  </si>
  <si>
    <t>利用する保守会社の登録、サービスの監視、バックアップなどの運用</t>
  </si>
  <si>
    <t>4 2 データを分ける単位</t>
  </si>
  <si>
    <t>サービスを利用する保守会社を「テナント」と呼ぶ。一つの保守会社は複数の顧客企業を管理し、それぞれの顧客企業に契約と問い合わせが紐付く。</t>
  </si>
  <si>
    <t>構造は「サービス → 保守会社 → 顧客企業 → 契約と問い合わせ」とする。別の保守会社のデータを分離することに加え、同じ保守会社の顧客同士でも問い合わせを閲覧できないようにする。</t>
  </si>
  <si>
    <t>初期の試行導入先は保守会社1社を想定するが、検証用には少なくとも保守会社2社と各社の複数顧客を用意し、両方の境界でアクセス制御を確認する。サービス運営者による業務データへのアクセスも、目的と権限を限定する方針とする。</t>
  </si>
  <si>
    <t>5 想定する業務の流れ</t>
  </si>
  <si>
    <t>1. 管理者が顧客企業、契約、顧客の窓口担当者を登録する。</t>
  </si>
  <si>
    <t>2. 顧客が専用ページから問い合わせまたは障害報告を登録する。</t>
  </si>
  <si>
    <t>3. 契約条件に基づく初回返信期限が設定され、管理者と担当者の一覧に表示される。</t>
  </si>
  <si>
    <t>4. 管理者が担当者を割り当てる。期限の接近や超過があれば通知する。</t>
  </si>
  <si>
    <t>5. 担当者が顧客に返信し、調査や対応を進める。社内メモと作業時間を残す。</t>
  </si>
  <si>
    <t>6. 顧客との確認を経て、問い合わせを解決済みまたは完了として扱う。</t>
  </si>
  <si>
    <t>7. 管理者が月次報告を生成し、内容を確認して顧客に公開する。</t>
  </si>
  <si>
    <t>緊急障害時の電話連絡など、保守会社が持つ既存の連絡手段も利用する。初期版のWeb受付と通知を、24時間の緊急対応を保証する仕組みとして位置付けることはしない。</t>
  </si>
  <si>
    <t>機能と範囲</t>
  </si>
  <si>
    <t>IT保守対応管理システム 企画書 第1版  初期版と次期拡張</t>
  </si>
  <si>
    <t>6 初期版の機能概要</t>
  </si>
  <si>
    <t>機能</t>
  </si>
  <si>
    <t>概要</t>
  </si>
  <si>
    <t>業務上の目的</t>
  </si>
  <si>
    <t>ログインと権限管理</t>
  </si>
  <si>
    <t>管理者、担当者、顧客の利用範囲を分ける</t>
  </si>
  <si>
    <t>顧客情報と社内情報を適切に保護する</t>
  </si>
  <si>
    <t>顧客と契約の管理</t>
  </si>
  <si>
    <t>契約期間、対象サービス、営業時間、初回返信の目標時間を登録する</t>
  </si>
  <si>
    <t>対応条件の確認元を統一する</t>
  </si>
  <si>
    <t>問い合わせ受付</t>
  </si>
  <si>
    <t>Webから件名、内容、区分、対象サービス、添付ファイルを登録する</t>
  </si>
  <si>
    <t>必要な情報を揃えて受付する</t>
  </si>
  <si>
    <t>一覧と検索</t>
  </si>
  <si>
    <t>顧客、担当者、状態、期限、受付期間で絞り込む</t>
  </si>
  <si>
    <t>未対応や期限接近の案件を見つける</t>
  </si>
  <si>
    <t>対応と履歴</t>
  </si>
  <si>
    <t>担当割当、状態変更、顧客への返信、社内メモを記録する</t>
  </si>
  <si>
    <t>対応を共有し、引き継ぎ可能にする</t>
  </si>
  <si>
    <t>初回返信期限の管理</t>
  </si>
  <si>
    <t>契約の営業時間と目標時間に基づく期限を表示する</t>
  </si>
  <si>
    <t>契約に応じて優先順位を判断する</t>
  </si>
  <si>
    <t>通知</t>
  </si>
  <si>
    <t>新規受付、返信、担当割当、期限接近、期限超過を知らせる</t>
  </si>
  <si>
    <t>対応が必要な変化を伝える</t>
  </si>
  <si>
    <t>作業記録</t>
  </si>
  <si>
    <t>対応内容、作業日、担当者、作業時間を記録する</t>
  </si>
  <si>
    <t>月次報告と負荷の分析に利用する</t>
  </si>
  <si>
    <t>月次報告</t>
  </si>
  <si>
    <t>顧客別に対応一覧、件数、作業時間、期限遵守状況をまとめる</t>
  </si>
  <si>
    <t>報告書作成を効率化する</t>
  </si>
  <si>
    <t>集計画面</t>
  </si>
  <si>
    <t>未完了件数、期限超過件数、担当者別の件数を表示する</t>
  </si>
  <si>
    <t>管理者が対応状況を把握する</t>
  </si>
  <si>
    <t>操作履歴</t>
  </si>
  <si>
    <t>重要な設定や案件の変更を記録する</t>
  </si>
  <si>
    <t>誤操作や問い合わせの調査を可能にする</t>
  </si>
  <si>
    <t>月次報告は画面表示、印刷、CSV出力を初期版の対象とする。自動公開は行わず、管理者が確認してから顧客に公開する方針とする。</t>
  </si>
  <si>
    <t>6 1 契約との連動範囲</t>
  </si>
  <si>
    <t>初期版の期限管理は、顧客への「初回返信」を対象とする。解決に必要な時間は問い合わせ内容や外部要因で変わるため、初回返信と区別して記録する。</t>
  </si>
  <si>
    <t>受付時点の契約条件を履歴として保持し、後日の契約変更によって過去案件の評価が変わらない方針とする。営業時間外の受付、休業日、契約期間外の問い合わせの扱いは、要件定義で確定する。</t>
  </si>
  <si>
    <t>複数段階の対応期限、複雑な契約別カレンダー、契約料金との自動連動は次期拡張で検討する。</t>
  </si>
  <si>
    <t>7 初期開発の範囲と次期拡張</t>
  </si>
  <si>
    <t>個人開発で業務の一連の流れを完成させるため、初期版はWeb受付を中心に構成する。契約連動の期限管理と月次報告を優先し、外部システムへの依存を増やす機能は段階的に追加する。</t>
  </si>
  <si>
    <t>項目</t>
  </si>
  <si>
    <t>初期版</t>
  </si>
  <si>
    <t>次期拡張</t>
  </si>
  <si>
    <t>受付窓口</t>
  </si>
  <si>
    <t>Webフォーム</t>
  </si>
  <si>
    <t>メール自動取込、外部APIによる受付</t>
  </si>
  <si>
    <t>画面内通知とメール送信</t>
  </si>
  <si>
    <t>チャット連携、段階的なエスカレーション</t>
  </si>
  <si>
    <t>対応期限</t>
  </si>
  <si>
    <t>契約に応じた初回返信期限</t>
  </si>
  <si>
    <t>解決期限、顧客からの返信待ちを考慮する計時</t>
  </si>
  <si>
    <t>認証</t>
  </si>
  <si>
    <t>サービス内のログインと役割管理</t>
  </si>
  <si>
    <t>企業のシングルサインオン連携</t>
  </si>
  <si>
    <t>報告</t>
  </si>
  <si>
    <t>定型の月次報告とCSV出力</t>
  </si>
  <si>
    <t>顧客別の帳票設定、自動配信</t>
  </si>
  <si>
    <t>契約</t>
  </si>
  <si>
    <t>契約条件の登録と参照</t>
  </si>
  <si>
    <t>電子契約、請求・会計連携</t>
  </si>
  <si>
    <t>利用開始</t>
  </si>
  <si>
    <t>運営者による保守会社登録</t>
  </si>
  <si>
    <t>セルフサインアップ、利用料金の自動決済</t>
  </si>
  <si>
    <t>AIによる回答生成、電話音声の取込、資産管理全般などは、初期版に含めない。追加の判断は、試行導入先の要望と効果を確認して行う。</t>
  </si>
  <si>
    <t>品質と技術</t>
  </si>
  <si>
    <t>IT保守対応管理システム 企画書 第1版  品質 運用 技術候補</t>
  </si>
  <si>
    <t>8 品質と運用の方針</t>
  </si>
  <si>
    <t>品質上の最優先事項は、保守会社間および顧客企業間の情報分離、社内メモの非公開、履歴の正確性とする。画面の表示制御に加え、サーバー側でも利用者の権限と所属を確認する。</t>
  </si>
  <si>
    <t>同時操作や再送によって、問い合わせ、作業記録、通知が意図せず重複しないようにする。通知が失敗した場合は失敗を記録し、再送と調査ができる方針とする。契約の時間条件は境界となる日時を含めて検証する。</t>
  </si>
  <si>
    <t>運用では、バックアップと復元確認、稼働監視、障害ログ、データの保存期間、利用終了時の返却・削除を扱う。保存期間や障害復旧の目標は、試行導入先の業務条件を確認して要件定義で決める。</t>
  </si>
  <si>
    <t>性能の検証規模は第2章の想定を出発点とする。応答時間、同時利用者数、添付ファイルの制限などの数値は、対象環境と利用条件を定めてから確定する。</t>
  </si>
  <si>
    <t>11 開発の基本方針</t>
  </si>
  <si>
    <t>JavaとSpring Bootを中心に構成し、個人で設計、実装、テスト、運用まで把握できる一つのアプリケーションを初期の構成とする。</t>
  </si>
  <si>
    <t>技術候補は、Spring Securityによる認証・権限制御、Spring Data JPAとPostgreSQLによるデータ管理、Thymeleafによる画面構築である。通知と定期集計も同じアプリケーション内で実現することを出発点とする。構成、製品バージョン、ファイル保存先、メール送信方式は設計工程で確定する。</t>
  </si>
  <si>
    <t>開発環境と試行環境を分け、変更履歴、DBの変更、テスト結果、リリース手順を管理する。初期版で複数サービスに分割する構成は採用しない方針とする。</t>
  </si>
  <si>
    <t>導入と評価</t>
  </si>
  <si>
    <t>IT保守対応管理システム 企画書 第1版  効果測定 販売 試行導入</t>
  </si>
  <si>
    <t>9 導入効果の評価</t>
  </si>
  <si>
    <t>導入前の直近1か月と、操作に慣れた後の試行期間1か月を比較する。問い合わせの量や重要度が大きく異なる場合は、その違いを分けて評価する。</t>
  </si>
  <si>
    <t>指標</t>
  </si>
  <si>
    <t>測定方法</t>
  </si>
  <si>
    <t>試行時の目標案</t>
  </si>
  <si>
    <t>月次報告書の作成時間</t>
  </si>
  <si>
    <t>顧客1社あたりの作成と確認にかかった時間を記録する</t>
  </si>
  <si>
    <t>導入前より30％短縮</t>
  </si>
  <si>
    <t>初回返信までの時間</t>
  </si>
  <si>
    <t>受付から最初の顧客向け返信までの時間を集計する</t>
  </si>
  <si>
    <t>導入前より20％短縮</t>
  </si>
  <si>
    <t>初回返信の期限超過率</t>
  </si>
  <si>
    <t>期限超過した対象案件数を、評価対象案件数で割る</t>
  </si>
  <si>
    <t>導入前より低下</t>
  </si>
  <si>
    <t>未割当の滞留件数</t>
  </si>
  <si>
    <t>一定時間を超えて担当者が決まっていない件数を数える</t>
  </si>
  <si>
    <t>利用継続の意向</t>
  </si>
  <si>
    <t>管理者、担当者、顧客窓口に業務への適合を確認する</t>
  </si>
  <si>
    <t>継続利用の条件が明確になる</t>
  </si>
  <si>
    <t>数値目標は企画段階の提案であり、実測結果や効果の保証ではない。導入前の測定結果を踏まえ、試行開始前に対象案件と目標を合意する。</t>
  </si>
  <si>
    <t>10 販売と試行導入の進め方</t>
  </si>
  <si>
    <t>10 1 提案の焦点</t>
  </si>
  <si>
    <t>営業時は、IT保守会社の実際の契約条件と月次報告書を確認し、受付から報告までのデモに反映する。既存サービスとの比較では、契約条件の設定に必要な手間、報告書の適合、導入・移行の負担を検証する。</t>
  </si>
  <si>
    <t>本企画の差別化仮説は、契約条件と作業記録を一連の業務に結び付けることにある。独自性や価格競争力は、顧客ヒアリングと競合比較で確認する。</t>
  </si>
  <si>
    <t>10 2 試行導入</t>
  </si>
  <si>
    <t>1. 候補企業に、受付方法、契約条件、担当割当、報告書作成の実態をヒアリングする。</t>
  </si>
  <si>
    <t>2. 対象顧客と問い合わせの種類を限定し、試行の範囲を決める。</t>
  </si>
  <si>
    <t>3. 顧客・契約・利用者を登録し、担当者に操作説明を行う。</t>
  </si>
  <si>
    <t>4. 試行期間中の利用状況、不具合、作業時間を記録する。</t>
  </si>
  <si>
    <t>5. 効果と改善事項を確認し、継続利用と有償提供の条件を検討する。</t>
  </si>
  <si>
    <t>10 3 料金と費用の考え方</t>
  </si>
  <si>
    <t>販売形態は、保守会社ごとの月額利用料と、必要に応じた初期設定・データ移行費用を候補とする。料金額は、利用者数、利用量、導入効果、サポート工数を確認して決める。顧客企業の窓口利用者を追加しやすい料金設計を検討する。</t>
  </si>
  <si>
    <t>運営費には、アプリケーションとDBの実行環境、ファイル保存、メール送信、バックアップ、監視、ドメイン、利用者サポートを含める。金額は利用規模と提供環境が未確定のため、要件定義後に見積もる。</t>
  </si>
  <si>
    <t>個人での提供開始時は、サポート可能な導入先数と対応時間を定める。試行で得た運用工数をもとに、販売範囲を判断する。</t>
  </si>
  <si>
    <t>ウォーターフォール型の開発計画</t>
  </si>
  <si>
    <t>企画段階の目安</t>
  </si>
  <si>
    <t>開発条件</t>
  </si>
  <si>
    <t>計画集計</t>
  </si>
  <si>
    <t>週間作業時間</t>
  </si>
  <si>
    <t>個人1名</t>
  </si>
  <si>
    <t>工程数</t>
  </si>
  <si>
    <t>通常期間</t>
  </si>
  <si>
    <t>予備期間</t>
  </si>
  <si>
    <t>合計期間</t>
  </si>
  <si>
    <t>計画工数</t>
  </si>
  <si>
    <t>主な技術</t>
  </si>
  <si>
    <t>Java Spring Boot</t>
  </si>
  <si>
    <t>計画の基準</t>
  </si>
  <si>
    <t>第1週から</t>
  </si>
  <si>
    <t>工程一覧</t>
  </si>
  <si>
    <t>週別の計画 第1週から第22週</t>
  </si>
  <si>
    <t>工程</t>
  </si>
  <si>
    <t>主な成果物</t>
  </si>
  <si>
    <t>担当者</t>
  </si>
  <si>
    <t>進捗</t>
  </si>
  <si>
    <t>期間 週</t>
  </si>
  <si>
    <t>開始週</t>
  </si>
  <si>
    <t>終了週</t>
  </si>
  <si>
    <t>工数 時間</t>
  </si>
  <si>
    <t>企画</t>
  </si>
  <si>
    <t>企画書</t>
  </si>
  <si>
    <t>本人</t>
  </si>
  <si>
    <t>要件定義</t>
  </si>
  <si>
    <t>要件定義書、業務フロー、要求一覧</t>
  </si>
  <si>
    <t>基本設計</t>
  </si>
  <si>
    <t>基本設計書、画面・帳票概要、データ構成、システム構成</t>
  </si>
  <si>
    <t>詳細設計</t>
  </si>
  <si>
    <t>詳細設計書、DB・処理・権限制御の設計</t>
  </si>
  <si>
    <t>実装と単体テスト</t>
  </si>
  <si>
    <t>ソースコード、単体テストと結果</t>
  </si>
  <si>
    <t>結合テスト</t>
  </si>
  <si>
    <t>結合テスト仕様と結果</t>
  </si>
  <si>
    <t>総合テストと試行準備</t>
  </si>
  <si>
    <t>総合テスト結果、運用手順、操作説明</t>
  </si>
  <si>
    <t>導入記録、評価項目、改善一覧</t>
  </si>
  <si>
    <t>予備</t>
  </si>
  <si>
    <t>不具合修正、必要な計画更新</t>
  </si>
  <si>
    <t>期間と工数の前提</t>
  </si>
  <si>
    <t>黄色の週間作業時間と工程ごとの期間を変更すると、開始週・終了週・工数・週別計画を再計算する。進捗欄は入力用として空欄にしている。</t>
  </si>
  <si>
    <t>通常18週と予備4週、週15時間を仮定し、合計22週・約330時間を目安とする。学習時間や技術検証により変わるため、要件定義と基本設計の完了時に見直す。</t>
  </si>
  <si>
    <t>導入と評価の1週は試行開始と評価準備を対象とする。慣熟後の試行1か月の効果測定は、導入後に継続する。</t>
  </si>
  <si>
    <t>12 ウォーターフォール型の開発計画</t>
  </si>
  <si>
    <t>各工程の成果物を自己レビューし、前工程で決めた内容との整合を確認してから次工程に進む。要件確定後に変更が必要になった場合は、変更理由、影響する文書と機能、追加工数を記録し、関係する成果物を更新する。</t>
  </si>
  <si>
    <t>以下は週15時間の作業を仮定した初期計画である。通常工程18週と予備4週で、合計22週、約330時間を目安に置く。初学者の学習時間や技術検証の結果によって変わるため、要件定義と基本設計の完了時に見直す。</t>
  </si>
  <si>
    <t>本書では要件定義書、画面仕様書、API仕様書、DB定義書などの詳細文書は作成しない。それらは後続工程の成果物とする。</t>
  </si>
  <si>
    <t>工程ごとの確認事項</t>
  </si>
  <si>
    <t>対象、提供価値、初期範囲が明確である</t>
  </si>
  <si>
    <t>業務ルールと対象外、検証可能な完了条件が決まっている</t>
  </si>
  <si>
    <t>要件ごとに実現方法が対応している</t>
  </si>
  <si>
    <t>境界条件と例外を含めて実装できる</t>
  </si>
  <si>
    <t>個々の処理が設計どおりに動く</t>
  </si>
  <si>
    <t>画面、DB、通知、帳票の連携が動く</t>
  </si>
  <si>
    <t>業務全体、情報分離、復元手順を確認できる</t>
  </si>
  <si>
    <t>試行を開始し、効果を測定できる</t>
  </si>
  <si>
    <t>追加対応の影響が記録されている</t>
  </si>
  <si>
    <t>リスクと確認</t>
  </si>
  <si>
    <t>IT保守対応管理システム 企画書 第1版  リスク 完成条件 要件定義への引継ぎ 参考資料</t>
  </si>
  <si>
    <t>13 主なリスクと対応</t>
  </si>
  <si>
    <t>リスク</t>
  </si>
  <si>
    <t>対応方針</t>
  </si>
  <si>
    <t>顧客ごとの要望で初期版が大きくなる</t>
  </si>
  <si>
    <t>試行の業務と初期機能を固定し、追加機能は次期候補として評価する</t>
  </si>
  <si>
    <t>契約の期限計算が想定以上に複雑になる</t>
  </si>
  <si>
    <t>初回返信を対象にし、代表的な契約条件を確認して範囲を確定する</t>
  </si>
  <si>
    <t>企業や顧客の境界を越えて情報が表示される</t>
  </si>
  <si>
    <t>複数の保守会社と顧客を使い、閲覧・更新・添付取得・帳票を検証する</t>
  </si>
  <si>
    <t>通知や定期処理の失敗が見逃される</t>
  </si>
  <si>
    <t>実行結果と失敗を記録し、監視と再処理の手順を用意する</t>
  </si>
  <si>
    <t>月次報告の集計結果が訂正で変わる</t>
  </si>
  <si>
    <t>集計条件と公開の履歴を保持し、訂正時の扱いを要件定義で決める</t>
  </si>
  <si>
    <t>個人での運用とサポートが開発を圧迫する</t>
  </si>
  <si>
    <t>導入先を限定し、サポート工数を試行で記録して提供条件を見直す</t>
  </si>
  <si>
    <t>14 初期版の完成と企画の評価</t>
  </si>
  <si>
    <t>初期版は、顧客の問い合わせ登録から担当者の対応、作業記録、管理者による月次報告の公開までを一連の操作で実行できることを完成の条件とする。</t>
  </si>
  <si>
    <t>加えて、契約の営業時間を考慮した初回返信期限、他の保守会社・顧客へのアクセス拒否、社内メモの非公開、通知失敗の確認と再処理を、テスト結果とデモで示せることを求める。</t>
  </si>
  <si>
    <t>実際の企業向け提供へ進む判断は、試行先の業務への適合、効果測定、重大な不具合の解消、バックアップと復元確認、提供条件の合意をもとに行う。ポートフォリオの完成と、有償運用を開始する判断をそれぞれ評価する。</t>
  </si>
  <si>
    <t>15 要件定義に引き継ぐ確認事項</t>
  </si>
  <si>
    <t>次工程では、特に以下を確定する。</t>
  </si>
  <si>
    <t>- 対象となる問い合わせ、障害の区分と緊急連絡の運用。</t>
  </si>
  <si>
    <t>- 顧客が閲覧できる範囲が自分の問い合わせのみか、自社全体か。</t>
  </si>
  <si>
    <t>- 契約期間、営業時間、休業日、目標時間と、契約対象外の受付方法。</t>
  </si>
  <si>
    <t>- 初回返信と認める操作、状態の種類、再開と完了の条件。</t>
  </si>
  <si>
    <t>- 担当割当、社内メモ、添付ファイル、作業記録を扱える権限。</t>
  </si>
  <si>
    <t>- 月次報告の様式、対象期間、集計方法、訂正と公開の手順。</t>
  </si>
  <si>
    <t>- 通知先、送信条件、再送方法、個人情報を含む通知の範囲。</t>
  </si>
  <si>
    <t>- 保存期間、利用終了時のデータ返却・削除、バックアップと復旧目標。</t>
  </si>
  <si>
    <t>- 試行先の利用規模、実行環境、性能目標、予算と運用担当。</t>
  </si>
  <si>
    <t>16 参考資料</t>
  </si>
  <si>
    <t>以下は機能設計の参考とする公式資料であり、本企画の市場需要や導入効果を証明する資料ではない。</t>
  </si>
  <si>
    <t>- Atlassian Jira Service Managementのサービスデスク機能
https://www.atlassian.com/software/jira/service-management/features/service-desk：複数の受付窓口と対応期限管理の参考。</t>
  </si>
  <si>
    <t>- Spring Securityの認可機能
https://docs.spring.io/spring-security/reference/servlet/authorization/：利用者の権限制御の参考。</t>
  </si>
  <si>
    <t>- Spring Data JPAの実装ガイド
https://spring.io/guides/gs/accessing-data-jpa/：リレーショナルDBへのデータ保存の参考。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</si>
</sst>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Red]\(#,##0\);\-"/>
    <numFmt numFmtId="177" formatCode=";;;"/>
    <numFmt numFmtId="178" formatCode="yyyy\-mm\-dd"/>
    <numFmt numFmtId="179" formatCode="0&quot; 時間&quot;"/>
    <numFmt numFmtId="180" formatCode="0&quot; 工程&quot;"/>
    <numFmt numFmtId="181" formatCode="0&quot; 週&quot;"/>
    <numFmt numFmtId="182" formatCode="#,##0&quot; 時間&quot;"/>
  </numFmts>
  <fonts count="13" x14ac:knownFonts="1">
    <font>
      <sz val="11"/>
      <name val="Arial"/>
    </font>
    <font>
      <b/>
      <sz val="14"/>
      <color rgb="FFFFFFFF"/>
      <name val="Arial"/>
    </font>
    <font>
      <sz val="11"/>
      <name val="Arial"/>
    </font>
    <font>
      <sz val="11"/>
      <color rgb="FF202534"/>
      <name val="Arial"/>
    </font>
    <font>
      <sz val="10"/>
      <color rgb="FF626875"/>
      <name val="Arial"/>
    </font>
    <font>
      <b/>
      <sz val="11"/>
      <color rgb="FF3F3296"/>
      <name val="Arial"/>
    </font>
    <font>
      <b/>
      <sz val="11"/>
      <color rgb="FFFFFFFF"/>
      <name val="Arial"/>
    </font>
    <font>
      <b/>
      <sz val="10"/>
      <color rgb="FF202534"/>
      <name val="Arial"/>
    </font>
    <font>
      <sz val="10"/>
      <color rgb="FF202534"/>
      <name val="Arial"/>
    </font>
    <font>
      <i/>
      <sz val="10"/>
      <color rgb="FF202534"/>
      <name val="Arial"/>
    </font>
    <font>
      <b/>
      <sz val="10"/>
      <color rgb="FFFFFFFF"/>
      <name val="Arial"/>
    </font>
    <font>
      <b/>
      <sz val="15"/>
      <color rgb="FF3F3296"/>
      <name val="Arial"/>
    </font>
    <font>
      <sz val="6"/>
      <name val="ＭＳ Ｐゴシック"/>
      <family val="3"/>
      <charset val="128"/>
    </font>
  </fonts>
  <fills count="12">
    <fill>
      <patternFill patternType="none"/>
    </fill>
    <fill>
      <patternFill patternType="gray125"/>
    </fill>
    <fill>
      <patternFill patternType="solid">
        <fgColor rgb="FF3F3296"/>
      </patternFill>
    </fill>
    <fill>
      <patternFill patternType="solid">
        <fgColor rgb="FFF2EDFF"/>
      </patternFill>
    </fill>
    <fill>
      <patternFill patternType="solid">
        <fgColor rgb="FFFFFFFF"/>
      </patternFill>
    </fill>
    <fill>
      <patternFill patternType="solid">
        <fgColor rgb="FFFFF2CC"/>
      </patternFill>
    </fill>
    <fill>
      <patternFill patternType="solid">
        <fgColor rgb="FFFAF8FF"/>
      </patternFill>
    </fill>
    <fill>
      <patternFill patternType="solid">
        <fgColor rgb="FF3F3296"/>
      </patternFill>
    </fill>
    <fill>
      <patternFill patternType="solid">
        <fgColor rgb="FFF1EDFF"/>
      </patternFill>
    </fill>
    <fill>
      <patternFill patternType="solid">
        <fgColor rgb="FFFFFFFF"/>
      </patternFill>
    </fill>
    <fill>
      <patternFill patternType="solid">
        <fgColor rgb="FFF8F7FC"/>
      </patternFill>
    </fill>
    <fill>
      <patternFill patternType="solid">
        <fgColor rgb="FFFFF2CC"/>
      </patternFill>
    </fill>
  </fills>
  <borders count="24">
    <border>
      <left/>
      <right/>
      <top/>
      <bottom/>
      <diagonal/>
    </border>
    <border>
      <left style="thin">
        <color rgb="FFD9E0E6"/>
      </left>
      <right style="thin">
        <color rgb="FFD9E0E6"/>
      </right>
      <top style="thin">
        <color rgb="FFD9E0E6"/>
      </top>
      <bottom style="thin">
        <color rgb="FFD9E0E6"/>
      </bottom>
      <diagonal/>
    </border>
    <border>
      <left style="thin">
        <color rgb="FFD6C26E"/>
      </left>
      <right style="thin">
        <color rgb="FFD6C26E"/>
      </right>
      <top style="thin">
        <color rgb="FFD6C26E"/>
      </top>
      <bottom style="thin">
        <color rgb="FFD6C26E"/>
      </bottom>
      <diagonal/>
    </border>
    <border>
      <left style="thin">
        <color rgb="FFECE8FA"/>
      </left>
      <right/>
      <top style="thin">
        <color rgb="FFECE8FA"/>
      </top>
      <bottom style="thin">
        <color rgb="FFECE8FA"/>
      </bottom>
      <diagonal/>
    </border>
    <border>
      <left/>
      <right/>
      <top style="thin">
        <color rgb="FFECE8FA"/>
      </top>
      <bottom style="thin">
        <color rgb="FFECE8FA"/>
      </bottom>
      <diagonal/>
    </border>
    <border>
      <left/>
      <right style="thin">
        <color rgb="FFECE8FA"/>
      </right>
      <top style="thin">
        <color rgb="FFECE8FA"/>
      </top>
      <bottom style="thin">
        <color rgb="FFECE8FA"/>
      </bottom>
      <diagonal/>
    </border>
    <border>
      <left style="thin">
        <color rgb="FFECE8FA"/>
      </left>
      <right/>
      <top style="thin">
        <color rgb="FFECE8FA"/>
      </top>
      <bottom/>
      <diagonal/>
    </border>
    <border>
      <left/>
      <right/>
      <top style="thin">
        <color rgb="FFECE8FA"/>
      </top>
      <bottom/>
      <diagonal/>
    </border>
    <border>
      <left/>
      <right style="thin">
        <color rgb="FFECE8FA"/>
      </right>
      <top style="thin">
        <color rgb="FFECE8FA"/>
      </top>
      <bottom/>
      <diagonal/>
    </border>
    <border>
      <left style="thin">
        <color rgb="FFECE8FA"/>
      </left>
      <right/>
      <top/>
      <bottom style="thin">
        <color rgb="FFECE8FA"/>
      </bottom>
      <diagonal/>
    </border>
    <border>
      <left/>
      <right/>
      <top/>
      <bottom style="thin">
        <color rgb="FFECE8FA"/>
      </bottom>
      <diagonal/>
    </border>
    <border>
      <left/>
      <right style="thin">
        <color rgb="FFECE8FA"/>
      </right>
      <top/>
      <bottom style="thin">
        <color rgb="FFECE8FA"/>
      </bottom>
      <diagonal/>
    </border>
    <border>
      <left style="thin">
        <color rgb="FFD6C26E"/>
      </left>
      <right/>
      <top style="thin">
        <color rgb="FFD9E0E6"/>
      </top>
      <bottom style="thin">
        <color rgb="FFD9E0E6"/>
      </bottom>
      <diagonal/>
    </border>
    <border>
      <left/>
      <right style="thin">
        <color rgb="FFD6C26E"/>
      </right>
      <top style="thin">
        <color rgb="FFD9E0E6"/>
      </top>
      <bottom style="thin">
        <color rgb="FFD9E0E6"/>
      </bottom>
      <diagonal/>
    </border>
    <border>
      <left style="thin">
        <color rgb="FFDCD5F1"/>
      </left>
      <right/>
      <top style="thin">
        <color rgb="FFDCD5F1"/>
      </top>
      <bottom style="thin">
        <color rgb="FFDCD5F1"/>
      </bottom>
      <diagonal/>
    </border>
    <border>
      <left/>
      <right/>
      <top style="thin">
        <color rgb="FFDCD5F1"/>
      </top>
      <bottom style="thin">
        <color rgb="FFDCD5F1"/>
      </bottom>
      <diagonal/>
    </border>
    <border>
      <left/>
      <right style="thin">
        <color rgb="FFDCD5F1"/>
      </right>
      <top style="thin">
        <color rgb="FFDCD5F1"/>
      </top>
      <bottom style="thin">
        <color rgb="FFDCD5F1"/>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top/>
      <bottom style="thin">
        <color rgb="FFE5E2ED"/>
      </bottom>
      <diagonal/>
    </border>
    <border>
      <left style="thin">
        <color rgb="FFDCD5F1"/>
      </left>
      <right style="thin">
        <color rgb="FFD9E0E6"/>
      </right>
      <top style="thin">
        <color rgb="FFDCD5F1"/>
      </top>
      <bottom style="thin">
        <color rgb="FFDCD5F1"/>
      </bottom>
      <diagonal/>
    </border>
    <border>
      <left style="thin">
        <color rgb="FFD9E0E6"/>
      </left>
      <right style="thin">
        <color rgb="FFD9E0E6"/>
      </right>
      <top style="thin">
        <color rgb="FFDCD5F1"/>
      </top>
      <bottom style="thin">
        <color rgb="FFDCD5F1"/>
      </bottom>
      <diagonal/>
    </border>
    <border>
      <left style="thin">
        <color rgb="FFD9E0E6"/>
      </left>
      <right style="thin">
        <color rgb="FFDCD5F1"/>
      </right>
      <top style="thin">
        <color rgb="FFDCD5F1"/>
      </top>
      <bottom style="thin">
        <color rgb="FFDCD5F1"/>
      </bottom>
      <diagonal/>
    </border>
  </borders>
  <cellStyleXfs count="2">
    <xf numFmtId="0" fontId="0" fillId="0" borderId="0"/>
    <xf numFmtId="0" fontId="2" fillId="0" borderId="0"/>
  </cellStyleXfs>
  <cellXfs count="88">
    <xf numFmtId="0" fontId="0" fillId="0" borderId="0" xfId="0"/>
    <xf numFmtId="0" fontId="0" fillId="0" borderId="0" xfId="1" applyFont="1" applyAlignment="1">
      <alignment vertical="center"/>
    </xf>
    <xf numFmtId="0" fontId="3" fillId="0" borderId="0" xfId="1" applyFont="1"/>
    <xf numFmtId="0" fontId="3" fillId="0" borderId="0" xfId="1" applyFont="1" applyAlignment="1">
      <alignment wrapText="1"/>
    </xf>
    <xf numFmtId="0" fontId="3" fillId="8" borderId="0" xfId="1" applyFont="1" applyFill="1" applyAlignment="1">
      <alignment wrapText="1"/>
    </xf>
    <xf numFmtId="0" fontId="6" fillId="7" borderId="17" xfId="1" applyFont="1" applyFill="1" applyBorder="1" applyAlignment="1">
      <alignment horizontal="center" vertical="center" wrapText="1"/>
    </xf>
    <xf numFmtId="0" fontId="6" fillId="7" borderId="18" xfId="1" applyFont="1" applyFill="1" applyBorder="1" applyAlignment="1">
      <alignment horizontal="center" vertical="center" wrapText="1"/>
    </xf>
    <xf numFmtId="0" fontId="6" fillId="7" borderId="19" xfId="1" applyFont="1" applyFill="1" applyBorder="1" applyAlignment="1">
      <alignment horizontal="center" vertical="center" wrapText="1"/>
    </xf>
    <xf numFmtId="0" fontId="3" fillId="9" borderId="20" xfId="1" applyFont="1" applyFill="1" applyBorder="1" applyAlignment="1">
      <alignment vertical="center" wrapText="1"/>
    </xf>
    <xf numFmtId="0" fontId="3" fillId="10" borderId="20" xfId="1" applyFont="1" applyFill="1" applyBorder="1" applyAlignment="1">
      <alignment vertical="center" wrapText="1"/>
    </xf>
    <xf numFmtId="0" fontId="8" fillId="0" borderId="0" xfId="1" applyFont="1"/>
    <xf numFmtId="0" fontId="8" fillId="0" borderId="0" xfId="1" applyFont="1" applyAlignment="1">
      <alignment vertical="center"/>
    </xf>
    <xf numFmtId="0" fontId="7" fillId="4" borderId="1" xfId="1" applyFont="1" applyFill="1" applyBorder="1" applyAlignment="1">
      <alignment horizontal="center" vertical="center" wrapText="1"/>
    </xf>
    <xf numFmtId="177" fontId="8" fillId="4" borderId="1" xfId="1" applyNumberFormat="1" applyFont="1" applyFill="1" applyBorder="1" applyAlignment="1">
      <alignment horizontal="left" vertical="center"/>
    </xf>
    <xf numFmtId="177" fontId="8" fillId="6" borderId="1" xfId="1" applyNumberFormat="1" applyFont="1" applyFill="1" applyBorder="1" applyAlignment="1">
      <alignment horizontal="left" vertical="center"/>
    </xf>
    <xf numFmtId="177" fontId="8" fillId="0" borderId="0" xfId="1" applyNumberFormat="1" applyFont="1"/>
    <xf numFmtId="0" fontId="9" fillId="3" borderId="6" xfId="1" applyFont="1" applyFill="1" applyBorder="1" applyAlignment="1">
      <alignment horizontal="left" vertical="center" wrapText="1"/>
    </xf>
    <xf numFmtId="0" fontId="9" fillId="3" borderId="7" xfId="1" applyFont="1" applyFill="1" applyBorder="1" applyAlignment="1">
      <alignment horizontal="left" vertical="center" wrapText="1"/>
    </xf>
    <xf numFmtId="0" fontId="9" fillId="3" borderId="8" xfId="1" applyFont="1" applyFill="1" applyBorder="1" applyAlignment="1">
      <alignment horizontal="left" vertical="center" wrapText="1"/>
    </xf>
    <xf numFmtId="0" fontId="9" fillId="3" borderId="9" xfId="1" applyFont="1" applyFill="1" applyBorder="1" applyAlignment="1">
      <alignment horizontal="left" vertical="center" wrapText="1"/>
    </xf>
    <xf numFmtId="0" fontId="9" fillId="3" borderId="10" xfId="1" applyFont="1" applyFill="1" applyBorder="1" applyAlignment="1">
      <alignment horizontal="left" vertical="center" wrapText="1"/>
    </xf>
    <xf numFmtId="0" fontId="9" fillId="3" borderId="11" xfId="1" applyFont="1" applyFill="1" applyBorder="1" applyAlignment="1">
      <alignment horizontal="left" vertical="center" wrapText="1"/>
    </xf>
    <xf numFmtId="0" fontId="10" fillId="7" borderId="1" xfId="1" applyFont="1" applyFill="1" applyBorder="1" applyAlignment="1">
      <alignment horizontal="center" vertical="center" wrapText="1"/>
    </xf>
    <xf numFmtId="1" fontId="10" fillId="7" borderId="1" xfId="1" applyNumberFormat="1" applyFont="1" applyFill="1" applyBorder="1" applyAlignment="1">
      <alignment horizontal="center" vertical="center" wrapText="1"/>
    </xf>
    <xf numFmtId="1" fontId="10" fillId="7" borderId="0" xfId="1" applyNumberFormat="1" applyFont="1" applyFill="1" applyAlignment="1">
      <alignment horizontal="center"/>
    </xf>
    <xf numFmtId="0" fontId="7" fillId="6" borderId="1" xfId="1" applyFont="1" applyFill="1" applyBorder="1" applyAlignment="1">
      <alignment horizontal="left" vertical="center" wrapText="1"/>
    </xf>
    <xf numFmtId="0" fontId="8" fillId="6" borderId="1" xfId="1" applyFont="1" applyFill="1" applyBorder="1" applyAlignment="1">
      <alignment horizontal="left" vertical="center" wrapText="1"/>
    </xf>
    <xf numFmtId="0" fontId="8" fillId="6" borderId="1" xfId="1" applyFont="1" applyFill="1" applyBorder="1" applyAlignment="1">
      <alignment horizontal="center" vertical="center" wrapText="1"/>
    </xf>
    <xf numFmtId="1" fontId="8" fillId="11" borderId="1" xfId="1" applyNumberFormat="1" applyFont="1" applyFill="1" applyBorder="1" applyAlignment="1">
      <alignment horizontal="center" vertical="center" wrapText="1"/>
    </xf>
    <xf numFmtId="1" fontId="8" fillId="6" borderId="1" xfId="1" applyNumberFormat="1" applyFont="1" applyFill="1" applyBorder="1" applyAlignment="1">
      <alignment horizontal="center" vertical="center" wrapText="1"/>
    </xf>
    <xf numFmtId="1" fontId="8" fillId="3" borderId="1" xfId="1" applyNumberFormat="1" applyFont="1" applyFill="1" applyBorder="1" applyAlignment="1">
      <alignment horizontal="center" vertical="center" wrapText="1"/>
    </xf>
    <xf numFmtId="0" fontId="7" fillId="4" borderId="1" xfId="1" applyFont="1" applyFill="1" applyBorder="1" applyAlignment="1">
      <alignment horizontal="left" vertical="center" wrapText="1"/>
    </xf>
    <xf numFmtId="0" fontId="8" fillId="4" borderId="1" xfId="1" applyFont="1" applyFill="1" applyBorder="1" applyAlignment="1">
      <alignment horizontal="left" vertical="center" wrapText="1"/>
    </xf>
    <xf numFmtId="0" fontId="8" fillId="4" borderId="1" xfId="1" applyFont="1" applyFill="1" applyBorder="1" applyAlignment="1">
      <alignment horizontal="center" vertical="center" wrapText="1"/>
    </xf>
    <xf numFmtId="1" fontId="8" fillId="4" borderId="1" xfId="1" applyNumberFormat="1" applyFont="1" applyFill="1" applyBorder="1" applyAlignment="1">
      <alignment horizontal="center" vertical="center" wrapText="1"/>
    </xf>
    <xf numFmtId="0" fontId="7" fillId="10" borderId="1" xfId="1" applyFont="1" applyFill="1" applyBorder="1" applyAlignment="1">
      <alignment horizontal="left" vertical="center" wrapText="1"/>
    </xf>
    <xf numFmtId="0" fontId="7" fillId="9" borderId="1" xfId="1" applyFont="1" applyFill="1" applyBorder="1" applyAlignment="1">
      <alignment horizontal="left" vertical="center" wrapText="1"/>
    </xf>
    <xf numFmtId="0" fontId="8" fillId="10" borderId="0" xfId="1" applyFont="1" applyFill="1" applyAlignment="1">
      <alignment vertical="center" wrapText="1"/>
    </xf>
    <xf numFmtId="0" fontId="3" fillId="0" borderId="0" xfId="1" applyFont="1" applyAlignment="1">
      <alignment vertical="center" wrapText="1"/>
    </xf>
    <xf numFmtId="0" fontId="5" fillId="8" borderId="14" xfId="1" applyFont="1" applyFill="1" applyBorder="1" applyAlignment="1">
      <alignment vertical="center" wrapText="1"/>
    </xf>
    <xf numFmtId="0" fontId="5" fillId="8" borderId="15" xfId="1" applyFont="1" applyFill="1" applyBorder="1" applyAlignment="1">
      <alignment vertical="center" wrapText="1"/>
    </xf>
    <xf numFmtId="0" fontId="5" fillId="8" borderId="16" xfId="1" applyFont="1" applyFill="1" applyBorder="1" applyAlignment="1">
      <alignment vertical="center" wrapText="1"/>
    </xf>
    <xf numFmtId="0" fontId="3" fillId="0" borderId="0" xfId="1" applyFont="1" applyAlignment="1">
      <alignment wrapText="1"/>
    </xf>
    <xf numFmtId="0" fontId="1" fillId="7" borderId="0" xfId="1" applyFont="1" applyFill="1" applyAlignment="1">
      <alignment vertical="center" wrapText="1"/>
    </xf>
    <xf numFmtId="0" fontId="4" fillId="0" borderId="0" xfId="1" applyFont="1" applyAlignment="1">
      <alignment wrapText="1"/>
    </xf>
    <xf numFmtId="178" fontId="3" fillId="0" borderId="0" xfId="1" applyNumberFormat="1" applyFont="1" applyAlignment="1">
      <alignment wrapText="1"/>
    </xf>
    <xf numFmtId="0" fontId="8" fillId="10" borderId="1" xfId="1" applyFont="1" applyFill="1" applyBorder="1" applyAlignment="1">
      <alignment horizontal="left" vertical="center" wrapText="1"/>
    </xf>
    <xf numFmtId="0" fontId="8" fillId="10" borderId="1" xfId="1" applyFont="1" applyFill="1" applyBorder="1" applyAlignment="1">
      <alignment horizontal="center" vertical="center" wrapText="1"/>
    </xf>
    <xf numFmtId="1" fontId="8" fillId="10" borderId="1" xfId="1" applyNumberFormat="1" applyFont="1" applyFill="1" applyBorder="1" applyAlignment="1">
      <alignment horizontal="center" vertical="center" wrapText="1"/>
    </xf>
    <xf numFmtId="0" fontId="8" fillId="9" borderId="1" xfId="1" applyFont="1" applyFill="1" applyBorder="1" applyAlignment="1">
      <alignment horizontal="left" vertical="center" wrapText="1"/>
    </xf>
    <xf numFmtId="0" fontId="8" fillId="9" borderId="1" xfId="1" applyFont="1" applyFill="1" applyBorder="1" applyAlignment="1">
      <alignment horizontal="center" vertical="center" wrapText="1"/>
    </xf>
    <xf numFmtId="1" fontId="8" fillId="9" borderId="1" xfId="1" applyNumberFormat="1" applyFont="1" applyFill="1" applyBorder="1" applyAlignment="1">
      <alignment horizontal="center" vertical="center" wrapText="1"/>
    </xf>
    <xf numFmtId="0" fontId="8" fillId="10" borderId="0" xfId="1" applyFont="1" applyFill="1" applyAlignment="1">
      <alignment vertical="center" wrapText="1"/>
    </xf>
    <xf numFmtId="0" fontId="7" fillId="4" borderId="1" xfId="1" applyFont="1" applyFill="1" applyBorder="1" applyAlignment="1">
      <alignment horizontal="left" vertical="center" wrapText="1"/>
    </xf>
    <xf numFmtId="0" fontId="8" fillId="4" borderId="1" xfId="1" applyFont="1" applyFill="1" applyBorder="1" applyAlignment="1">
      <alignment horizontal="left" vertical="center" wrapText="1"/>
    </xf>
    <xf numFmtId="0" fontId="8" fillId="4" borderId="1" xfId="1" applyFont="1" applyFill="1" applyBorder="1" applyAlignment="1">
      <alignment horizontal="center" vertical="center" wrapText="1"/>
    </xf>
    <xf numFmtId="1" fontId="8" fillId="4" borderId="1" xfId="1" applyNumberFormat="1" applyFont="1" applyFill="1" applyBorder="1" applyAlignment="1">
      <alignment horizontal="center" vertical="center" wrapText="1"/>
    </xf>
    <xf numFmtId="1" fontId="8" fillId="3" borderId="1" xfId="1" applyNumberFormat="1" applyFont="1" applyFill="1" applyBorder="1" applyAlignment="1">
      <alignment horizontal="center" vertical="center" wrapText="1"/>
    </xf>
    <xf numFmtId="0" fontId="7" fillId="6" borderId="1" xfId="1" applyFont="1" applyFill="1" applyBorder="1" applyAlignment="1">
      <alignment horizontal="left" vertical="center" wrapText="1"/>
    </xf>
    <xf numFmtId="0" fontId="8" fillId="6" borderId="1" xfId="1" applyFont="1" applyFill="1" applyBorder="1" applyAlignment="1">
      <alignment horizontal="left" vertical="center" wrapText="1"/>
    </xf>
    <xf numFmtId="0" fontId="8" fillId="6" borderId="1" xfId="1" applyFont="1" applyFill="1" applyBorder="1" applyAlignment="1">
      <alignment horizontal="center" vertical="center" wrapText="1"/>
    </xf>
    <xf numFmtId="1" fontId="8" fillId="6" borderId="1" xfId="1" applyNumberFormat="1" applyFont="1" applyFill="1" applyBorder="1" applyAlignment="1">
      <alignment horizontal="center" vertical="center" wrapText="1"/>
    </xf>
    <xf numFmtId="0" fontId="5" fillId="8" borderId="21" xfId="1" applyFont="1" applyFill="1" applyBorder="1" applyAlignment="1">
      <alignment horizontal="left" vertical="center" wrapText="1"/>
    </xf>
    <xf numFmtId="0" fontId="5" fillId="8" borderId="22" xfId="1" applyFont="1" applyFill="1" applyBorder="1" applyAlignment="1">
      <alignment horizontal="left" vertical="center" wrapText="1"/>
    </xf>
    <xf numFmtId="0" fontId="5" fillId="8" borderId="22" xfId="1" applyFont="1" applyFill="1" applyBorder="1" applyAlignment="1">
      <alignment horizontal="center" vertical="center" wrapText="1"/>
    </xf>
    <xf numFmtId="1" fontId="5" fillId="8" borderId="22" xfId="1" applyNumberFormat="1" applyFont="1" applyFill="1" applyBorder="1" applyAlignment="1">
      <alignment horizontal="center" vertical="center" wrapText="1"/>
    </xf>
    <xf numFmtId="1" fontId="5" fillId="8" borderId="23" xfId="1" applyNumberFormat="1" applyFont="1" applyFill="1" applyBorder="1" applyAlignment="1">
      <alignment horizontal="center" vertical="center" wrapText="1"/>
    </xf>
    <xf numFmtId="0" fontId="5" fillId="8" borderId="1" xfId="1" applyFont="1" applyFill="1" applyBorder="1" applyAlignment="1">
      <alignment horizontal="left" vertical="center" wrapText="1"/>
    </xf>
    <xf numFmtId="0" fontId="5" fillId="8" borderId="1" xfId="1" applyFont="1" applyFill="1" applyBorder="1" applyAlignment="1">
      <alignment horizontal="center" vertical="center" wrapText="1"/>
    </xf>
    <xf numFmtId="1" fontId="5" fillId="8" borderId="1" xfId="1" applyNumberFormat="1" applyFont="1" applyFill="1" applyBorder="1" applyAlignment="1">
      <alignment horizontal="center" vertical="center" wrapText="1"/>
    </xf>
    <xf numFmtId="0" fontId="1" fillId="7" borderId="0" xfId="1" applyFont="1" applyFill="1" applyAlignment="1">
      <alignment horizontal="left" vertical="center"/>
    </xf>
    <xf numFmtId="0" fontId="7" fillId="8" borderId="0" xfId="1" applyFont="1" applyFill="1" applyAlignment="1">
      <alignment horizontal="left" vertical="center"/>
    </xf>
    <xf numFmtId="179" fontId="8" fillId="11" borderId="2" xfId="1" applyNumberFormat="1" applyFont="1" applyFill="1" applyBorder="1" applyAlignment="1">
      <alignment horizontal="left" vertical="center"/>
    </xf>
    <xf numFmtId="0" fontId="8" fillId="11" borderId="2" xfId="1" applyFont="1" applyFill="1" applyBorder="1" applyAlignment="1">
      <alignment horizontal="left" vertical="center"/>
    </xf>
    <xf numFmtId="0" fontId="8" fillId="5" borderId="2" xfId="1" applyFont="1" applyFill="1" applyBorder="1" applyAlignment="1">
      <alignment horizontal="left" vertical="center"/>
    </xf>
    <xf numFmtId="0" fontId="10" fillId="2" borderId="3" xfId="1" applyFont="1" applyFill="1" applyBorder="1" applyAlignment="1">
      <alignment horizontal="center" vertical="center"/>
    </xf>
    <xf numFmtId="0" fontId="10" fillId="2" borderId="4" xfId="1" applyFont="1" applyFill="1" applyBorder="1" applyAlignment="1">
      <alignment horizontal="center" vertical="center"/>
    </xf>
    <xf numFmtId="0" fontId="10" fillId="2" borderId="5" xfId="1" applyFont="1" applyFill="1" applyBorder="1" applyAlignment="1">
      <alignment horizontal="center" vertical="center"/>
    </xf>
    <xf numFmtId="0" fontId="7" fillId="4" borderId="12" xfId="1" applyFont="1" applyFill="1" applyBorder="1" applyAlignment="1">
      <alignment horizontal="center" vertical="center" wrapText="1"/>
    </xf>
    <xf numFmtId="0" fontId="7" fillId="4" borderId="13" xfId="1" applyFont="1" applyFill="1" applyBorder="1" applyAlignment="1">
      <alignment horizontal="center" vertical="center" wrapText="1"/>
    </xf>
    <xf numFmtId="0" fontId="1" fillId="7" borderId="0" xfId="1" applyFont="1" applyFill="1"/>
    <xf numFmtId="0" fontId="8" fillId="8" borderId="0" xfId="1" applyFont="1" applyFill="1"/>
    <xf numFmtId="181" fontId="11" fillId="3" borderId="3" xfId="1" applyNumberFormat="1" applyFont="1" applyFill="1" applyBorder="1" applyAlignment="1">
      <alignment horizontal="center" vertical="center"/>
    </xf>
    <xf numFmtId="176" fontId="7" fillId="3" borderId="4" xfId="1" applyNumberFormat="1" applyFont="1" applyFill="1" applyBorder="1" applyAlignment="1">
      <alignment horizontal="center" vertical="center"/>
    </xf>
    <xf numFmtId="176" fontId="7" fillId="3" borderId="5" xfId="1" applyNumberFormat="1" applyFont="1" applyFill="1" applyBorder="1" applyAlignment="1">
      <alignment horizontal="center" vertical="center"/>
    </xf>
    <xf numFmtId="182" fontId="11" fillId="3" borderId="3" xfId="1" applyNumberFormat="1" applyFont="1" applyFill="1" applyBorder="1" applyAlignment="1">
      <alignment horizontal="center" vertical="center"/>
    </xf>
    <xf numFmtId="49" fontId="8" fillId="5" borderId="2" xfId="1" applyNumberFormat="1" applyFont="1" applyFill="1" applyBorder="1" applyAlignment="1">
      <alignment horizontal="left" vertical="center"/>
    </xf>
    <xf numFmtId="180" fontId="11" fillId="3" borderId="3" xfId="1" applyNumberFormat="1" applyFont="1" applyFill="1" applyBorder="1" applyAlignment="1">
      <alignment horizontal="center" vertical="center"/>
    </xf>
  </cellXfs>
  <cellStyles count="2">
    <cellStyle name="Normal" xfId="1" xr:uid="{00000000-0005-0000-0000-000000000000}"/>
    <cellStyle name="標準" xfId="0" builtinId="0"/>
  </cellStyles>
  <dxfs count="2">
    <dxf>
      <fill>
        <patternFill patternType="solid">
          <bgColor rgb="FFB99AFF"/>
        </patternFill>
      </fill>
    </dxf>
    <dxf>
      <font>
        <color rgb="FF0B6E52"/>
      </font>
      <fill>
        <patternFill patternType="solid">
          <bgColor rgb="FFDDF3E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F3296"/>
    <pageSetUpPr fitToPage="1"/>
  </sheetPr>
  <dimension ref="B1:D160"/>
  <sheetViews>
    <sheetView showGridLines="0" tabSelected="1" zoomScale="90" workbookViewId="0">
      <pane ySplit="3" topLeftCell="A4" activePane="bottomLeft" state="frozen"/>
      <selection pane="bottomLeft" activeCell="B20" sqref="B20:D20"/>
    </sheetView>
  </sheetViews>
  <sheetFormatPr defaultRowHeight="14" x14ac:dyDescent="0.3"/>
  <cols>
    <col min="1" max="1" width="2.6640625" customWidth="1"/>
    <col min="2" max="2" width="23.33203125" customWidth="1"/>
    <col min="3" max="3" width="42.25" customWidth="1"/>
    <col min="4" max="4" width="47.75" customWidth="1"/>
  </cols>
  <sheetData>
    <row r="1" spans="2:4" x14ac:dyDescent="0.3">
      <c r="B1" s="3"/>
      <c r="C1" s="3"/>
      <c r="D1" s="3"/>
    </row>
    <row r="2" spans="2:4" ht="27" customHeight="1" x14ac:dyDescent="0.3">
      <c r="B2" s="43" t="s">
        <v>0</v>
      </c>
      <c r="C2" s="43"/>
      <c r="D2" s="43"/>
    </row>
    <row r="3" spans="2:4" ht="21" customHeight="1" x14ac:dyDescent="0.3">
      <c r="B3" s="44" t="s">
        <v>1</v>
      </c>
      <c r="C3" s="44"/>
      <c r="D3" s="44"/>
    </row>
    <row r="4" spans="2:4" x14ac:dyDescent="0.3">
      <c r="B4" s="3"/>
      <c r="C4" s="3"/>
      <c r="D4" s="3"/>
    </row>
    <row r="5" spans="2:4" ht="23.25" customHeight="1" x14ac:dyDescent="0.3">
      <c r="B5" s="39" t="s">
        <v>2</v>
      </c>
      <c r="C5" s="40"/>
      <c r="D5" s="41"/>
    </row>
    <row r="6" spans="2:4" ht="24" customHeight="1" x14ac:dyDescent="0.3">
      <c r="B6" s="4" t="s">
        <v>3</v>
      </c>
      <c r="C6" s="42" t="s">
        <v>4</v>
      </c>
      <c r="D6" s="42"/>
    </row>
    <row r="7" spans="2:4" ht="24" customHeight="1" x14ac:dyDescent="0.3">
      <c r="B7" s="4" t="s">
        <v>5</v>
      </c>
      <c r="C7" s="45">
        <v>46278</v>
      </c>
      <c r="D7" s="42"/>
    </row>
    <row r="8" spans="2:4" ht="24" customHeight="1" x14ac:dyDescent="0.3">
      <c r="B8" s="4" t="s">
        <v>6</v>
      </c>
      <c r="C8" s="42" t="s">
        <v>7</v>
      </c>
      <c r="D8" s="42"/>
    </row>
    <row r="9" spans="2:4" ht="24" customHeight="1" x14ac:dyDescent="0.3">
      <c r="B9" s="4" t="s">
        <v>8</v>
      </c>
      <c r="C9" s="42" t="s">
        <v>9</v>
      </c>
      <c r="D9" s="42"/>
    </row>
    <row r="10" spans="2:4" ht="24" customHeight="1" x14ac:dyDescent="0.3">
      <c r="B10" s="4" t="s">
        <v>10</v>
      </c>
      <c r="C10" s="42" t="s">
        <v>11</v>
      </c>
      <c r="D10" s="42"/>
    </row>
    <row r="11" spans="2:4" ht="24" customHeight="1" x14ac:dyDescent="0.3">
      <c r="B11" s="4" t="s">
        <v>12</v>
      </c>
      <c r="C11" s="42" t="s">
        <v>13</v>
      </c>
      <c r="D11" s="42"/>
    </row>
    <row r="12" spans="2:4" x14ac:dyDescent="0.3">
      <c r="B12" s="3"/>
      <c r="C12" s="3"/>
      <c r="D12" s="3"/>
    </row>
    <row r="13" spans="2:4" ht="23.25" customHeight="1" x14ac:dyDescent="0.3">
      <c r="B13" s="39" t="s">
        <v>14</v>
      </c>
      <c r="C13" s="40"/>
      <c r="D13" s="41"/>
    </row>
    <row r="14" spans="2:4" ht="24" customHeight="1" x14ac:dyDescent="0.3">
      <c r="B14" s="38" t="s">
        <v>15</v>
      </c>
      <c r="C14" s="38"/>
      <c r="D14" s="38"/>
    </row>
    <row r="15" spans="2:4" ht="37.5" customHeight="1" x14ac:dyDescent="0.3">
      <c r="B15" s="38" t="s">
        <v>16</v>
      </c>
      <c r="C15" s="38"/>
      <c r="D15" s="38"/>
    </row>
    <row r="16" spans="2:4" ht="37.5" customHeight="1" x14ac:dyDescent="0.3">
      <c r="B16" s="38" t="s">
        <v>17</v>
      </c>
      <c r="C16" s="38"/>
      <c r="D16" s="38"/>
    </row>
    <row r="17" spans="2:4" x14ac:dyDescent="0.3">
      <c r="B17" s="3"/>
      <c r="C17" s="3"/>
      <c r="D17" s="3"/>
    </row>
    <row r="18" spans="2:4" ht="23.25" customHeight="1" x14ac:dyDescent="0.3">
      <c r="B18" s="39" t="s">
        <v>18</v>
      </c>
      <c r="C18" s="40"/>
      <c r="D18" s="41"/>
    </row>
    <row r="19" spans="2:4" ht="37.5" customHeight="1" x14ac:dyDescent="0.3">
      <c r="B19" s="38" t="s">
        <v>19</v>
      </c>
      <c r="C19" s="38"/>
      <c r="D19" s="38"/>
    </row>
    <row r="20" spans="2:4" ht="28.5" customHeight="1" x14ac:dyDescent="0.3">
      <c r="B20" s="38" t="s">
        <v>20</v>
      </c>
      <c r="C20" s="38"/>
      <c r="D20" s="38"/>
    </row>
    <row r="21" spans="2:4" ht="37.5" customHeight="1" x14ac:dyDescent="0.3">
      <c r="B21" s="38" t="s">
        <v>21</v>
      </c>
      <c r="C21" s="38"/>
      <c r="D21" s="38"/>
    </row>
    <row r="22" spans="2:4" x14ac:dyDescent="0.3">
      <c r="B22" s="3"/>
      <c r="C22" s="3"/>
      <c r="D22" s="3"/>
    </row>
    <row r="23" spans="2:4" x14ac:dyDescent="0.3">
      <c r="B23" s="3"/>
      <c r="C23" s="3"/>
      <c r="D23" s="3"/>
    </row>
    <row r="24" spans="2:4" x14ac:dyDescent="0.3">
      <c r="B24" s="2"/>
      <c r="C24" s="2"/>
      <c r="D24" s="2"/>
    </row>
    <row r="25" spans="2:4" x14ac:dyDescent="0.3">
      <c r="B25" s="2"/>
      <c r="C25" s="2"/>
      <c r="D25" s="2"/>
    </row>
    <row r="26" spans="2:4" x14ac:dyDescent="0.3">
      <c r="B26" s="2"/>
      <c r="C26" s="2"/>
      <c r="D26" s="2"/>
    </row>
    <row r="27" spans="2:4" x14ac:dyDescent="0.3">
      <c r="B27" s="2"/>
      <c r="C27" s="2"/>
      <c r="D27" s="2"/>
    </row>
    <row r="28" spans="2:4" x14ac:dyDescent="0.3">
      <c r="B28" s="2"/>
      <c r="C28" s="2"/>
      <c r="D28" s="2"/>
    </row>
    <row r="29" spans="2:4" x14ac:dyDescent="0.3">
      <c r="B29" s="2"/>
      <c r="C29" s="2"/>
      <c r="D29" s="2"/>
    </row>
    <row r="30" spans="2:4" x14ac:dyDescent="0.3">
      <c r="B30" s="2"/>
      <c r="C30" s="2"/>
      <c r="D30" s="2"/>
    </row>
    <row r="31" spans="2:4" x14ac:dyDescent="0.3">
      <c r="B31" s="2"/>
      <c r="C31" s="2"/>
      <c r="D31" s="2"/>
    </row>
    <row r="32" spans="2:4" x14ac:dyDescent="0.3">
      <c r="B32" s="2"/>
      <c r="C32" s="2"/>
      <c r="D32" s="2"/>
    </row>
    <row r="33" spans="2:4" x14ac:dyDescent="0.3">
      <c r="B33" s="2"/>
      <c r="C33" s="2"/>
      <c r="D33" s="2"/>
    </row>
    <row r="34" spans="2:4" x14ac:dyDescent="0.3">
      <c r="B34" s="2"/>
      <c r="C34" s="2"/>
      <c r="D34" s="2"/>
    </row>
    <row r="35" spans="2:4" x14ac:dyDescent="0.3">
      <c r="B35" s="2"/>
      <c r="C35" s="2"/>
      <c r="D35" s="2"/>
    </row>
    <row r="36" spans="2:4" x14ac:dyDescent="0.3">
      <c r="B36" s="2"/>
      <c r="C36" s="2"/>
      <c r="D36" s="2"/>
    </row>
    <row r="37" spans="2:4" x14ac:dyDescent="0.3">
      <c r="B37" s="2"/>
      <c r="C37" s="2"/>
      <c r="D37" s="2"/>
    </row>
    <row r="38" spans="2:4" x14ac:dyDescent="0.3">
      <c r="B38" s="2"/>
      <c r="C38" s="2"/>
      <c r="D38" s="2"/>
    </row>
    <row r="39" spans="2:4" x14ac:dyDescent="0.3">
      <c r="B39" s="2"/>
      <c r="C39" s="2"/>
      <c r="D39" s="2"/>
    </row>
    <row r="40" spans="2:4" x14ac:dyDescent="0.3">
      <c r="B40" s="2"/>
      <c r="C40" s="2"/>
      <c r="D40" s="2"/>
    </row>
    <row r="41" spans="2:4" x14ac:dyDescent="0.3">
      <c r="B41" s="2"/>
      <c r="C41" s="2"/>
      <c r="D41" s="2"/>
    </row>
    <row r="42" spans="2:4" x14ac:dyDescent="0.3">
      <c r="B42" s="2"/>
      <c r="C42" s="2"/>
      <c r="D42" s="2"/>
    </row>
    <row r="43" spans="2:4" x14ac:dyDescent="0.3">
      <c r="B43" s="2"/>
      <c r="C43" s="2"/>
      <c r="D43" s="2"/>
    </row>
    <row r="44" spans="2:4" x14ac:dyDescent="0.3">
      <c r="B44" s="2"/>
      <c r="C44" s="2"/>
      <c r="D44" s="2"/>
    </row>
    <row r="45" spans="2:4" x14ac:dyDescent="0.3">
      <c r="B45" s="2"/>
      <c r="C45" s="2"/>
      <c r="D45" s="2"/>
    </row>
    <row r="46" spans="2:4" x14ac:dyDescent="0.3">
      <c r="B46" s="2"/>
      <c r="C46" s="2"/>
      <c r="D46" s="2"/>
    </row>
    <row r="47" spans="2:4" x14ac:dyDescent="0.3">
      <c r="B47" s="2"/>
      <c r="C47" s="2"/>
      <c r="D47" s="2"/>
    </row>
    <row r="48" spans="2:4" x14ac:dyDescent="0.3">
      <c r="B48" s="2"/>
      <c r="C48" s="2"/>
      <c r="D48" s="2"/>
    </row>
    <row r="49" spans="2:4" x14ac:dyDescent="0.3">
      <c r="B49" s="2"/>
      <c r="C49" s="2"/>
      <c r="D49" s="2"/>
    </row>
    <row r="50" spans="2:4" x14ac:dyDescent="0.3">
      <c r="B50" s="2"/>
      <c r="C50" s="2"/>
      <c r="D50" s="2"/>
    </row>
    <row r="51" spans="2:4" x14ac:dyDescent="0.3">
      <c r="B51" s="2"/>
      <c r="C51" s="2"/>
      <c r="D51" s="2"/>
    </row>
    <row r="52" spans="2:4" x14ac:dyDescent="0.3">
      <c r="B52" s="2"/>
      <c r="C52" s="2"/>
      <c r="D52" s="2"/>
    </row>
    <row r="53" spans="2:4" x14ac:dyDescent="0.3">
      <c r="B53" s="2"/>
      <c r="C53" s="2"/>
      <c r="D53" s="2"/>
    </row>
    <row r="54" spans="2:4" x14ac:dyDescent="0.3">
      <c r="B54" s="2"/>
      <c r="C54" s="2"/>
      <c r="D54" s="2"/>
    </row>
    <row r="55" spans="2:4" x14ac:dyDescent="0.3">
      <c r="B55" s="2"/>
      <c r="C55" s="2"/>
      <c r="D55" s="2"/>
    </row>
    <row r="56" spans="2:4" x14ac:dyDescent="0.3">
      <c r="B56" s="2"/>
      <c r="C56" s="2"/>
      <c r="D56" s="2"/>
    </row>
    <row r="57" spans="2:4" x14ac:dyDescent="0.3">
      <c r="B57" s="2"/>
      <c r="C57" s="2"/>
      <c r="D57" s="2"/>
    </row>
    <row r="58" spans="2:4" x14ac:dyDescent="0.3">
      <c r="B58" s="2"/>
      <c r="C58" s="2"/>
      <c r="D58" s="2"/>
    </row>
    <row r="59" spans="2:4" x14ac:dyDescent="0.3">
      <c r="B59" s="2"/>
      <c r="C59" s="2"/>
      <c r="D59" s="2"/>
    </row>
    <row r="60" spans="2:4" x14ac:dyDescent="0.3">
      <c r="B60" s="2"/>
      <c r="C60" s="2"/>
      <c r="D60" s="2"/>
    </row>
    <row r="61" spans="2:4" x14ac:dyDescent="0.3">
      <c r="B61" s="2"/>
      <c r="C61" s="2"/>
      <c r="D61" s="2"/>
    </row>
    <row r="62" spans="2:4" x14ac:dyDescent="0.3">
      <c r="B62" s="2"/>
      <c r="C62" s="2"/>
      <c r="D62" s="2"/>
    </row>
    <row r="63" spans="2:4" x14ac:dyDescent="0.3">
      <c r="B63" s="2"/>
      <c r="C63" s="2"/>
      <c r="D63" s="2"/>
    </row>
    <row r="64" spans="2:4" x14ac:dyDescent="0.3">
      <c r="B64" s="2"/>
      <c r="C64" s="2"/>
      <c r="D64" s="2"/>
    </row>
    <row r="65" spans="2:4" x14ac:dyDescent="0.3">
      <c r="B65" s="2"/>
      <c r="C65" s="2"/>
      <c r="D65" s="2"/>
    </row>
    <row r="66" spans="2:4" x14ac:dyDescent="0.3">
      <c r="B66" s="2"/>
      <c r="C66" s="2"/>
      <c r="D66" s="2"/>
    </row>
    <row r="67" spans="2:4" x14ac:dyDescent="0.3">
      <c r="B67" s="2"/>
      <c r="C67" s="2"/>
      <c r="D67" s="2"/>
    </row>
    <row r="68" spans="2:4" x14ac:dyDescent="0.3">
      <c r="B68" s="2"/>
      <c r="C68" s="2"/>
      <c r="D68" s="2"/>
    </row>
    <row r="69" spans="2:4" x14ac:dyDescent="0.3">
      <c r="B69" s="2"/>
      <c r="C69" s="2"/>
      <c r="D69" s="2"/>
    </row>
    <row r="70" spans="2:4" x14ac:dyDescent="0.3">
      <c r="B70" s="2"/>
      <c r="C70" s="2"/>
      <c r="D70" s="2"/>
    </row>
    <row r="71" spans="2:4" x14ac:dyDescent="0.3">
      <c r="B71" s="2"/>
      <c r="C71" s="2"/>
      <c r="D71" s="2"/>
    </row>
    <row r="72" spans="2:4" x14ac:dyDescent="0.3">
      <c r="B72" s="2"/>
      <c r="C72" s="2"/>
      <c r="D72" s="2"/>
    </row>
    <row r="73" spans="2:4" x14ac:dyDescent="0.3">
      <c r="B73" s="2"/>
      <c r="C73" s="2"/>
      <c r="D73" s="2"/>
    </row>
    <row r="74" spans="2:4" x14ac:dyDescent="0.3">
      <c r="B74" s="2"/>
      <c r="C74" s="2"/>
      <c r="D74" s="2"/>
    </row>
    <row r="75" spans="2:4" x14ac:dyDescent="0.3">
      <c r="B75" s="2"/>
      <c r="C75" s="2"/>
      <c r="D75" s="2"/>
    </row>
    <row r="76" spans="2:4" x14ac:dyDescent="0.3">
      <c r="B76" s="2"/>
      <c r="C76" s="2"/>
      <c r="D76" s="2"/>
    </row>
    <row r="77" spans="2:4" x14ac:dyDescent="0.3">
      <c r="B77" s="2"/>
      <c r="C77" s="2"/>
      <c r="D77" s="2"/>
    </row>
    <row r="78" spans="2:4" x14ac:dyDescent="0.3">
      <c r="B78" s="2"/>
      <c r="C78" s="2"/>
      <c r="D78" s="2"/>
    </row>
    <row r="79" spans="2:4" x14ac:dyDescent="0.3">
      <c r="B79" s="2"/>
      <c r="C79" s="2"/>
      <c r="D79" s="2"/>
    </row>
    <row r="80" spans="2:4" x14ac:dyDescent="0.3">
      <c r="B80" s="2"/>
      <c r="C80" s="2"/>
      <c r="D80" s="2"/>
    </row>
    <row r="81" spans="2:4" x14ac:dyDescent="0.3">
      <c r="B81" s="2"/>
      <c r="C81" s="2"/>
      <c r="D81" s="2"/>
    </row>
    <row r="82" spans="2:4" x14ac:dyDescent="0.3">
      <c r="B82" s="2"/>
      <c r="C82" s="2"/>
      <c r="D82" s="2"/>
    </row>
    <row r="83" spans="2:4" x14ac:dyDescent="0.3">
      <c r="B83" s="2"/>
      <c r="C83" s="2"/>
      <c r="D83" s="2"/>
    </row>
    <row r="84" spans="2:4" x14ac:dyDescent="0.3">
      <c r="B84" s="2"/>
      <c r="C84" s="2"/>
      <c r="D84" s="2"/>
    </row>
    <row r="85" spans="2:4" x14ac:dyDescent="0.3">
      <c r="B85" s="2"/>
      <c r="C85" s="2"/>
      <c r="D85" s="2"/>
    </row>
    <row r="86" spans="2:4" x14ac:dyDescent="0.3">
      <c r="B86" s="2"/>
      <c r="C86" s="2"/>
      <c r="D86" s="2"/>
    </row>
    <row r="87" spans="2:4" x14ac:dyDescent="0.3">
      <c r="B87" s="2"/>
      <c r="C87" s="2"/>
      <c r="D87" s="2"/>
    </row>
    <row r="88" spans="2:4" x14ac:dyDescent="0.3">
      <c r="B88" s="2"/>
      <c r="C88" s="2"/>
      <c r="D88" s="2"/>
    </row>
    <row r="89" spans="2:4" x14ac:dyDescent="0.3">
      <c r="B89" s="2"/>
      <c r="C89" s="2"/>
      <c r="D89" s="2"/>
    </row>
    <row r="90" spans="2:4" x14ac:dyDescent="0.3">
      <c r="B90" s="2"/>
      <c r="C90" s="2"/>
      <c r="D90" s="2"/>
    </row>
    <row r="91" spans="2:4" x14ac:dyDescent="0.3">
      <c r="B91" s="2"/>
      <c r="C91" s="2"/>
      <c r="D91" s="2"/>
    </row>
    <row r="92" spans="2:4" x14ac:dyDescent="0.3">
      <c r="B92" s="2"/>
      <c r="C92" s="2"/>
      <c r="D92" s="2"/>
    </row>
    <row r="93" spans="2:4" x14ac:dyDescent="0.3">
      <c r="B93" s="2"/>
      <c r="C93" s="2"/>
      <c r="D93" s="2"/>
    </row>
    <row r="94" spans="2:4" x14ac:dyDescent="0.3">
      <c r="B94" s="2"/>
      <c r="C94" s="2"/>
      <c r="D94" s="2"/>
    </row>
    <row r="95" spans="2:4" x14ac:dyDescent="0.3">
      <c r="B95" s="2"/>
      <c r="C95" s="2"/>
      <c r="D95" s="2"/>
    </row>
    <row r="96" spans="2:4" x14ac:dyDescent="0.3">
      <c r="B96" s="2"/>
      <c r="C96" s="2"/>
      <c r="D96" s="2"/>
    </row>
    <row r="97" spans="2:4" x14ac:dyDescent="0.3">
      <c r="B97" s="2"/>
      <c r="C97" s="2"/>
      <c r="D97" s="2"/>
    </row>
    <row r="98" spans="2:4" x14ac:dyDescent="0.3">
      <c r="B98" s="2"/>
      <c r="C98" s="2"/>
      <c r="D98" s="2"/>
    </row>
    <row r="99" spans="2:4" x14ac:dyDescent="0.3">
      <c r="B99" s="2"/>
      <c r="C99" s="2"/>
      <c r="D99" s="2"/>
    </row>
    <row r="100" spans="2:4" x14ac:dyDescent="0.3">
      <c r="B100" s="2"/>
      <c r="C100" s="2"/>
      <c r="D100" s="2"/>
    </row>
    <row r="101" spans="2:4" x14ac:dyDescent="0.3">
      <c r="B101" s="2"/>
      <c r="C101" s="2"/>
      <c r="D101" s="2"/>
    </row>
    <row r="102" spans="2:4" x14ac:dyDescent="0.3">
      <c r="B102" s="2"/>
      <c r="C102" s="2"/>
      <c r="D102" s="2"/>
    </row>
    <row r="103" spans="2:4" x14ac:dyDescent="0.3">
      <c r="B103" s="2"/>
      <c r="C103" s="2"/>
      <c r="D103" s="2"/>
    </row>
    <row r="104" spans="2:4" x14ac:dyDescent="0.3">
      <c r="B104" s="2"/>
      <c r="C104" s="2"/>
      <c r="D104" s="2"/>
    </row>
    <row r="105" spans="2:4" x14ac:dyDescent="0.3">
      <c r="B105" s="2"/>
      <c r="C105" s="2"/>
      <c r="D105" s="2"/>
    </row>
    <row r="106" spans="2:4" x14ac:dyDescent="0.3">
      <c r="B106" s="2"/>
      <c r="C106" s="2"/>
      <c r="D106" s="2"/>
    </row>
    <row r="107" spans="2:4" x14ac:dyDescent="0.3">
      <c r="B107" s="2"/>
      <c r="C107" s="2"/>
      <c r="D107" s="2"/>
    </row>
    <row r="108" spans="2:4" x14ac:dyDescent="0.3">
      <c r="B108" s="2"/>
      <c r="C108" s="2"/>
      <c r="D108" s="2"/>
    </row>
    <row r="109" spans="2:4" x14ac:dyDescent="0.3">
      <c r="B109" s="2"/>
      <c r="C109" s="2"/>
      <c r="D109" s="2"/>
    </row>
    <row r="110" spans="2:4" x14ac:dyDescent="0.3">
      <c r="B110" s="2"/>
      <c r="C110" s="2"/>
      <c r="D110" s="2"/>
    </row>
    <row r="111" spans="2:4" x14ac:dyDescent="0.3">
      <c r="B111" s="2"/>
      <c r="C111" s="2"/>
      <c r="D111" s="2"/>
    </row>
    <row r="112" spans="2:4" x14ac:dyDescent="0.3">
      <c r="B112" s="2"/>
      <c r="C112" s="2"/>
      <c r="D112" s="2"/>
    </row>
    <row r="113" spans="2:4" x14ac:dyDescent="0.3">
      <c r="B113" s="2"/>
      <c r="C113" s="2"/>
      <c r="D113" s="2"/>
    </row>
    <row r="114" spans="2:4" x14ac:dyDescent="0.3">
      <c r="B114" s="2"/>
      <c r="C114" s="2"/>
      <c r="D114" s="2"/>
    </row>
    <row r="115" spans="2:4" x14ac:dyDescent="0.3">
      <c r="B115" s="2"/>
      <c r="C115" s="2"/>
      <c r="D115" s="2"/>
    </row>
    <row r="116" spans="2:4" x14ac:dyDescent="0.3">
      <c r="B116" s="2"/>
      <c r="C116" s="2"/>
      <c r="D116" s="2"/>
    </row>
    <row r="117" spans="2:4" x14ac:dyDescent="0.3">
      <c r="B117" s="2"/>
      <c r="C117" s="2"/>
      <c r="D117" s="2"/>
    </row>
    <row r="118" spans="2:4" x14ac:dyDescent="0.3">
      <c r="B118" s="2"/>
      <c r="C118" s="2"/>
      <c r="D118" s="2"/>
    </row>
    <row r="119" spans="2:4" x14ac:dyDescent="0.3">
      <c r="B119" s="2"/>
      <c r="C119" s="2"/>
      <c r="D119" s="2"/>
    </row>
    <row r="120" spans="2:4" x14ac:dyDescent="0.3">
      <c r="B120" s="2"/>
      <c r="C120" s="2"/>
      <c r="D120" s="2"/>
    </row>
    <row r="121" spans="2:4" x14ac:dyDescent="0.3">
      <c r="B121" s="2"/>
      <c r="C121" s="2"/>
      <c r="D121" s="2"/>
    </row>
    <row r="122" spans="2:4" x14ac:dyDescent="0.3">
      <c r="B122" s="2"/>
      <c r="C122" s="2"/>
      <c r="D122" s="2"/>
    </row>
    <row r="123" spans="2:4" x14ac:dyDescent="0.3">
      <c r="B123" s="2"/>
      <c r="C123" s="2"/>
      <c r="D123" s="2"/>
    </row>
    <row r="124" spans="2:4" x14ac:dyDescent="0.3">
      <c r="B124" s="2"/>
      <c r="C124" s="2"/>
      <c r="D124" s="2"/>
    </row>
    <row r="125" spans="2:4" x14ac:dyDescent="0.3">
      <c r="B125" s="2"/>
      <c r="C125" s="2"/>
      <c r="D125" s="2"/>
    </row>
    <row r="126" spans="2:4" x14ac:dyDescent="0.3">
      <c r="B126" s="2"/>
      <c r="C126" s="2"/>
      <c r="D126" s="2"/>
    </row>
    <row r="127" spans="2:4" x14ac:dyDescent="0.3">
      <c r="B127" s="2"/>
      <c r="C127" s="2"/>
      <c r="D127" s="2"/>
    </row>
    <row r="128" spans="2:4" x14ac:dyDescent="0.3">
      <c r="B128" s="2"/>
      <c r="C128" s="2"/>
      <c r="D128" s="2"/>
    </row>
    <row r="129" spans="2:4" x14ac:dyDescent="0.3">
      <c r="B129" s="2"/>
      <c r="C129" s="2"/>
      <c r="D129" s="2"/>
    </row>
    <row r="130" spans="2:4" x14ac:dyDescent="0.3">
      <c r="B130" s="2"/>
      <c r="C130" s="2"/>
      <c r="D130" s="2"/>
    </row>
    <row r="131" spans="2:4" x14ac:dyDescent="0.3">
      <c r="B131" s="2"/>
      <c r="C131" s="2"/>
      <c r="D131" s="2"/>
    </row>
    <row r="132" spans="2:4" x14ac:dyDescent="0.3">
      <c r="B132" s="2"/>
      <c r="C132" s="2"/>
      <c r="D132" s="2"/>
    </row>
    <row r="133" spans="2:4" x14ac:dyDescent="0.3">
      <c r="B133" s="2"/>
      <c r="C133" s="2"/>
      <c r="D133" s="2"/>
    </row>
    <row r="134" spans="2:4" x14ac:dyDescent="0.3">
      <c r="B134" s="2"/>
      <c r="C134" s="2"/>
      <c r="D134" s="2"/>
    </row>
    <row r="135" spans="2:4" x14ac:dyDescent="0.3">
      <c r="B135" s="2"/>
      <c r="C135" s="2"/>
      <c r="D135" s="2"/>
    </row>
    <row r="136" spans="2:4" x14ac:dyDescent="0.3">
      <c r="B136" s="2"/>
      <c r="C136" s="2"/>
      <c r="D136" s="2"/>
    </row>
    <row r="137" spans="2:4" x14ac:dyDescent="0.3">
      <c r="B137" s="2"/>
      <c r="C137" s="2"/>
      <c r="D137" s="2"/>
    </row>
    <row r="138" spans="2:4" x14ac:dyDescent="0.3">
      <c r="B138" s="2"/>
      <c r="C138" s="2"/>
      <c r="D138" s="2"/>
    </row>
    <row r="139" spans="2:4" x14ac:dyDescent="0.3">
      <c r="B139" s="2"/>
      <c r="C139" s="2"/>
      <c r="D139" s="2"/>
    </row>
    <row r="140" spans="2:4" x14ac:dyDescent="0.3">
      <c r="B140" s="2"/>
      <c r="C140" s="2"/>
      <c r="D140" s="2"/>
    </row>
    <row r="141" spans="2:4" x14ac:dyDescent="0.3">
      <c r="B141" s="2"/>
      <c r="C141" s="2"/>
      <c r="D141" s="2"/>
    </row>
    <row r="142" spans="2:4" x14ac:dyDescent="0.3">
      <c r="B142" s="2"/>
      <c r="C142" s="2"/>
      <c r="D142" s="2"/>
    </row>
    <row r="143" spans="2:4" x14ac:dyDescent="0.3">
      <c r="B143" s="2"/>
      <c r="C143" s="2"/>
      <c r="D143" s="2"/>
    </row>
    <row r="144" spans="2:4" x14ac:dyDescent="0.3">
      <c r="B144" s="2"/>
      <c r="C144" s="2"/>
      <c r="D144" s="2"/>
    </row>
    <row r="145" spans="2:4" x14ac:dyDescent="0.3">
      <c r="B145" s="2"/>
      <c r="C145" s="2"/>
      <c r="D145" s="2"/>
    </row>
    <row r="146" spans="2:4" x14ac:dyDescent="0.3">
      <c r="B146" s="2"/>
      <c r="C146" s="2"/>
      <c r="D146" s="2"/>
    </row>
    <row r="147" spans="2:4" x14ac:dyDescent="0.3">
      <c r="B147" s="2"/>
      <c r="C147" s="2"/>
      <c r="D147" s="2"/>
    </row>
    <row r="148" spans="2:4" x14ac:dyDescent="0.3">
      <c r="B148" s="2"/>
      <c r="C148" s="2"/>
      <c r="D148" s="2"/>
    </row>
    <row r="149" spans="2:4" x14ac:dyDescent="0.3">
      <c r="B149" s="2"/>
      <c r="C149" s="2"/>
      <c r="D149" s="2"/>
    </row>
    <row r="150" spans="2:4" x14ac:dyDescent="0.3">
      <c r="B150" s="2"/>
      <c r="C150" s="2"/>
      <c r="D150" s="2"/>
    </row>
    <row r="151" spans="2:4" x14ac:dyDescent="0.3">
      <c r="B151" s="2"/>
      <c r="C151" s="2"/>
      <c r="D151" s="2"/>
    </row>
    <row r="152" spans="2:4" x14ac:dyDescent="0.3">
      <c r="B152" s="2"/>
      <c r="C152" s="2"/>
      <c r="D152" s="2"/>
    </row>
    <row r="153" spans="2:4" x14ac:dyDescent="0.3">
      <c r="B153" s="2"/>
      <c r="C153" s="2"/>
      <c r="D153" s="2"/>
    </row>
    <row r="154" spans="2:4" x14ac:dyDescent="0.3">
      <c r="B154" s="2"/>
      <c r="C154" s="2"/>
      <c r="D154" s="2"/>
    </row>
    <row r="155" spans="2:4" x14ac:dyDescent="0.3">
      <c r="B155" s="2"/>
      <c r="C155" s="2"/>
      <c r="D155" s="2"/>
    </row>
    <row r="156" spans="2:4" x14ac:dyDescent="0.3">
      <c r="B156" s="2"/>
      <c r="C156" s="2"/>
      <c r="D156" s="2"/>
    </row>
    <row r="157" spans="2:4" x14ac:dyDescent="0.3">
      <c r="B157" s="2"/>
      <c r="C157" s="2"/>
      <c r="D157" s="2"/>
    </row>
    <row r="158" spans="2:4" x14ac:dyDescent="0.3">
      <c r="B158" s="2"/>
      <c r="C158" s="2"/>
      <c r="D158" s="2"/>
    </row>
    <row r="159" spans="2:4" x14ac:dyDescent="0.3">
      <c r="B159" s="2"/>
      <c r="C159" s="2"/>
      <c r="D159" s="2"/>
    </row>
    <row r="160" spans="2:4" x14ac:dyDescent="0.3">
      <c r="B160" s="2"/>
      <c r="C160" s="2"/>
      <c r="D160" s="2"/>
    </row>
  </sheetData>
  <mergeCells count="17">
    <mergeCell ref="B2:D2"/>
    <mergeCell ref="B3:D3"/>
    <mergeCell ref="B5:D5"/>
    <mergeCell ref="C6:D6"/>
    <mergeCell ref="C7:D7"/>
    <mergeCell ref="C8:D8"/>
    <mergeCell ref="C9:D9"/>
    <mergeCell ref="C10:D10"/>
    <mergeCell ref="C11:D11"/>
    <mergeCell ref="B13:D13"/>
    <mergeCell ref="B20:D20"/>
    <mergeCell ref="B21:D21"/>
    <mergeCell ref="B14:D14"/>
    <mergeCell ref="B15:D15"/>
    <mergeCell ref="B16:D16"/>
    <mergeCell ref="B18:D18"/>
    <mergeCell ref="B19:D19"/>
  </mergeCells>
  <phoneticPr fontId="12"/>
  <pageMargins left="0.25" right="0.25" top="0.4" bottom="0.4" header="0.2" footer="0.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F3296"/>
    <pageSetUpPr fitToPage="1"/>
  </sheetPr>
  <dimension ref="B1:D160"/>
  <sheetViews>
    <sheetView showGridLines="0" zoomScale="90" workbookViewId="0">
      <pane ySplit="3" topLeftCell="A4" activePane="bottomLeft" state="frozen"/>
      <selection pane="bottomLeft"/>
    </sheetView>
  </sheetViews>
  <sheetFormatPr defaultRowHeight="14" x14ac:dyDescent="0.3"/>
  <cols>
    <col min="1" max="1" width="2.6640625" customWidth="1"/>
    <col min="2" max="2" width="27.75" customWidth="1"/>
    <col min="3" max="3" width="38.9140625" customWidth="1"/>
    <col min="4" max="4" width="46.6640625" customWidth="1"/>
  </cols>
  <sheetData>
    <row r="1" spans="2:4" x14ac:dyDescent="0.3">
      <c r="B1" s="3"/>
      <c r="C1" s="3"/>
      <c r="D1" s="3"/>
    </row>
    <row r="2" spans="2:4" ht="27" customHeight="1" x14ac:dyDescent="0.3">
      <c r="B2" s="43" t="s">
        <v>22</v>
      </c>
      <c r="C2" s="43"/>
      <c r="D2" s="43"/>
    </row>
    <row r="3" spans="2:4" ht="21" customHeight="1" x14ac:dyDescent="0.3">
      <c r="B3" s="44" t="s">
        <v>23</v>
      </c>
      <c r="C3" s="44"/>
      <c r="D3" s="44"/>
    </row>
    <row r="4" spans="2:4" x14ac:dyDescent="0.3">
      <c r="B4" s="3"/>
      <c r="C4" s="3"/>
      <c r="D4" s="3"/>
    </row>
    <row r="5" spans="2:4" ht="23.25" customHeight="1" x14ac:dyDescent="0.3">
      <c r="B5" s="39" t="s">
        <v>24</v>
      </c>
      <c r="C5" s="40"/>
      <c r="D5" s="41"/>
    </row>
    <row r="6" spans="2:4" ht="23.25" customHeight="1" x14ac:dyDescent="0.3">
      <c r="B6" s="39" t="s">
        <v>25</v>
      </c>
      <c r="C6" s="40"/>
      <c r="D6" s="41"/>
    </row>
    <row r="7" spans="2:4" ht="37.5" customHeight="1" x14ac:dyDescent="0.3">
      <c r="B7" s="38" t="s">
        <v>26</v>
      </c>
      <c r="C7" s="38"/>
      <c r="D7" s="38"/>
    </row>
    <row r="8" spans="2:4" ht="37.5" customHeight="1" x14ac:dyDescent="0.3">
      <c r="B8" s="38" t="s">
        <v>27</v>
      </c>
      <c r="C8" s="38"/>
      <c r="D8" s="38"/>
    </row>
    <row r="9" spans="2:4" ht="23.25" customHeight="1" x14ac:dyDescent="0.3">
      <c r="B9" s="39" t="s">
        <v>28</v>
      </c>
      <c r="C9" s="40"/>
      <c r="D9" s="41"/>
    </row>
    <row r="10" spans="2:4" ht="24" customHeight="1" x14ac:dyDescent="0.3">
      <c r="B10" s="38" t="s">
        <v>29</v>
      </c>
      <c r="C10" s="38"/>
      <c r="D10" s="38"/>
    </row>
    <row r="11" spans="2:4" ht="24" customHeight="1" x14ac:dyDescent="0.3">
      <c r="B11" s="5" t="s">
        <v>30</v>
      </c>
      <c r="C11" s="6" t="s">
        <v>31</v>
      </c>
      <c r="D11" s="7" t="s">
        <v>32</v>
      </c>
    </row>
    <row r="12" spans="2:4" ht="37.5" customHeight="1" x14ac:dyDescent="0.3">
      <c r="B12" s="8" t="s">
        <v>33</v>
      </c>
      <c r="C12" s="8" t="s">
        <v>34</v>
      </c>
      <c r="D12" s="8" t="s">
        <v>35</v>
      </c>
    </row>
    <row r="13" spans="2:4" ht="28.5" customHeight="1" x14ac:dyDescent="0.3">
      <c r="B13" s="9" t="s">
        <v>36</v>
      </c>
      <c r="C13" s="9" t="s">
        <v>37</v>
      </c>
      <c r="D13" s="9" t="s">
        <v>38</v>
      </c>
    </row>
    <row r="14" spans="2:4" ht="28.5" customHeight="1" x14ac:dyDescent="0.3">
      <c r="B14" s="8" t="s">
        <v>39</v>
      </c>
      <c r="C14" s="8" t="s">
        <v>40</v>
      </c>
      <c r="D14" s="8" t="s">
        <v>41</v>
      </c>
    </row>
    <row r="15" spans="2:4" ht="28.5" customHeight="1" x14ac:dyDescent="0.3">
      <c r="B15" s="9" t="s">
        <v>42</v>
      </c>
      <c r="C15" s="9" t="s">
        <v>43</v>
      </c>
      <c r="D15" s="9" t="s">
        <v>44</v>
      </c>
    </row>
    <row r="16" spans="2:4" ht="28.5" customHeight="1" x14ac:dyDescent="0.3">
      <c r="B16" s="8" t="s">
        <v>45</v>
      </c>
      <c r="C16" s="8" t="s">
        <v>46</v>
      </c>
      <c r="D16" s="8" t="s">
        <v>47</v>
      </c>
    </row>
    <row r="17" spans="2:4" x14ac:dyDescent="0.3">
      <c r="B17" s="3"/>
      <c r="C17" s="3"/>
      <c r="D17" s="3"/>
    </row>
    <row r="18" spans="2:4" x14ac:dyDescent="0.3">
      <c r="B18" s="3"/>
      <c r="C18" s="3"/>
      <c r="D18" s="3"/>
    </row>
    <row r="19" spans="2:4" x14ac:dyDescent="0.3">
      <c r="B19" s="3"/>
      <c r="C19" s="3"/>
      <c r="D19" s="3"/>
    </row>
    <row r="20" spans="2:4" x14ac:dyDescent="0.3">
      <c r="B20" s="2"/>
      <c r="C20" s="2"/>
      <c r="D20" s="2"/>
    </row>
    <row r="21" spans="2:4" x14ac:dyDescent="0.3">
      <c r="B21" s="2"/>
      <c r="C21" s="2"/>
      <c r="D21" s="2"/>
    </row>
    <row r="22" spans="2:4" x14ac:dyDescent="0.3">
      <c r="B22" s="2"/>
      <c r="C22" s="2"/>
      <c r="D22" s="2"/>
    </row>
    <row r="23" spans="2:4" x14ac:dyDescent="0.3">
      <c r="B23" s="2"/>
      <c r="C23" s="2"/>
      <c r="D23" s="2"/>
    </row>
    <row r="24" spans="2:4" x14ac:dyDescent="0.3">
      <c r="B24" s="2"/>
      <c r="C24" s="2"/>
      <c r="D24" s="2"/>
    </row>
    <row r="25" spans="2:4" x14ac:dyDescent="0.3">
      <c r="B25" s="2"/>
      <c r="C25" s="2"/>
      <c r="D25" s="2"/>
    </row>
    <row r="26" spans="2:4" x14ac:dyDescent="0.3">
      <c r="B26" s="2"/>
      <c r="C26" s="2"/>
      <c r="D26" s="2"/>
    </row>
    <row r="27" spans="2:4" x14ac:dyDescent="0.3">
      <c r="B27" s="2"/>
      <c r="C27" s="2"/>
      <c r="D27" s="2"/>
    </row>
    <row r="28" spans="2:4" x14ac:dyDescent="0.3">
      <c r="B28" s="2"/>
      <c r="C28" s="2"/>
      <c r="D28" s="2"/>
    </row>
    <row r="29" spans="2:4" x14ac:dyDescent="0.3">
      <c r="B29" s="2"/>
      <c r="C29" s="2"/>
      <c r="D29" s="2"/>
    </row>
    <row r="30" spans="2:4" x14ac:dyDescent="0.3">
      <c r="B30" s="2"/>
      <c r="C30" s="2"/>
      <c r="D30" s="2"/>
    </row>
    <row r="31" spans="2:4" x14ac:dyDescent="0.3">
      <c r="B31" s="2"/>
      <c r="C31" s="2"/>
      <c r="D31" s="2"/>
    </row>
    <row r="32" spans="2:4" x14ac:dyDescent="0.3">
      <c r="B32" s="2"/>
      <c r="C32" s="2"/>
      <c r="D32" s="2"/>
    </row>
    <row r="33" spans="2:4" x14ac:dyDescent="0.3">
      <c r="B33" s="2"/>
      <c r="C33" s="2"/>
      <c r="D33" s="2"/>
    </row>
    <row r="34" spans="2:4" x14ac:dyDescent="0.3">
      <c r="B34" s="2"/>
      <c r="C34" s="2"/>
      <c r="D34" s="2"/>
    </row>
    <row r="35" spans="2:4" x14ac:dyDescent="0.3">
      <c r="B35" s="2"/>
      <c r="C35" s="2"/>
      <c r="D35" s="2"/>
    </row>
    <row r="36" spans="2:4" x14ac:dyDescent="0.3">
      <c r="B36" s="2"/>
      <c r="C36" s="2"/>
      <c r="D36" s="2"/>
    </row>
    <row r="37" spans="2:4" x14ac:dyDescent="0.3">
      <c r="B37" s="2"/>
      <c r="C37" s="2"/>
      <c r="D37" s="2"/>
    </row>
    <row r="38" spans="2:4" x14ac:dyDescent="0.3">
      <c r="B38" s="2"/>
      <c r="C38" s="2"/>
      <c r="D38" s="2"/>
    </row>
    <row r="39" spans="2:4" x14ac:dyDescent="0.3">
      <c r="B39" s="2"/>
      <c r="C39" s="2"/>
      <c r="D39" s="2"/>
    </row>
    <row r="40" spans="2:4" x14ac:dyDescent="0.3">
      <c r="B40" s="2"/>
      <c r="C40" s="2"/>
      <c r="D40" s="2"/>
    </row>
    <row r="41" spans="2:4" x14ac:dyDescent="0.3">
      <c r="B41" s="2"/>
      <c r="C41" s="2"/>
      <c r="D41" s="2"/>
    </row>
    <row r="42" spans="2:4" x14ac:dyDescent="0.3">
      <c r="B42" s="2"/>
      <c r="C42" s="2"/>
      <c r="D42" s="2"/>
    </row>
    <row r="43" spans="2:4" x14ac:dyDescent="0.3">
      <c r="B43" s="2"/>
      <c r="C43" s="2"/>
      <c r="D43" s="2"/>
    </row>
    <row r="44" spans="2:4" x14ac:dyDescent="0.3">
      <c r="B44" s="2"/>
      <c r="C44" s="2"/>
      <c r="D44" s="2"/>
    </row>
    <row r="45" spans="2:4" x14ac:dyDescent="0.3">
      <c r="B45" s="2"/>
      <c r="C45" s="2"/>
      <c r="D45" s="2"/>
    </row>
    <row r="46" spans="2:4" x14ac:dyDescent="0.3">
      <c r="B46" s="2"/>
      <c r="C46" s="2"/>
      <c r="D46" s="2"/>
    </row>
    <row r="47" spans="2:4" x14ac:dyDescent="0.3">
      <c r="B47" s="2"/>
      <c r="C47" s="2"/>
      <c r="D47" s="2"/>
    </row>
    <row r="48" spans="2:4" x14ac:dyDescent="0.3">
      <c r="B48" s="2"/>
      <c r="C48" s="2"/>
      <c r="D48" s="2"/>
    </row>
    <row r="49" spans="2:4" x14ac:dyDescent="0.3">
      <c r="B49" s="2"/>
      <c r="C49" s="2"/>
      <c r="D49" s="2"/>
    </row>
    <row r="50" spans="2:4" x14ac:dyDescent="0.3">
      <c r="B50" s="2"/>
      <c r="C50" s="2"/>
      <c r="D50" s="2"/>
    </row>
    <row r="51" spans="2:4" x14ac:dyDescent="0.3">
      <c r="B51" s="2"/>
      <c r="C51" s="2"/>
      <c r="D51" s="2"/>
    </row>
    <row r="52" spans="2:4" x14ac:dyDescent="0.3">
      <c r="B52" s="2"/>
      <c r="C52" s="2"/>
      <c r="D52" s="2"/>
    </row>
    <row r="53" spans="2:4" x14ac:dyDescent="0.3">
      <c r="B53" s="2"/>
      <c r="C53" s="2"/>
      <c r="D53" s="2"/>
    </row>
    <row r="54" spans="2:4" x14ac:dyDescent="0.3">
      <c r="B54" s="2"/>
      <c r="C54" s="2"/>
      <c r="D54" s="2"/>
    </row>
    <row r="55" spans="2:4" x14ac:dyDescent="0.3">
      <c r="B55" s="2"/>
      <c r="C55" s="2"/>
      <c r="D55" s="2"/>
    </row>
    <row r="56" spans="2:4" x14ac:dyDescent="0.3">
      <c r="B56" s="2"/>
      <c r="C56" s="2"/>
      <c r="D56" s="2"/>
    </row>
    <row r="57" spans="2:4" x14ac:dyDescent="0.3">
      <c r="B57" s="2"/>
      <c r="C57" s="2"/>
      <c r="D57" s="2"/>
    </row>
    <row r="58" spans="2:4" x14ac:dyDescent="0.3">
      <c r="B58" s="2"/>
      <c r="C58" s="2"/>
      <c r="D58" s="2"/>
    </row>
    <row r="59" spans="2:4" x14ac:dyDescent="0.3">
      <c r="B59" s="2"/>
      <c r="C59" s="2"/>
      <c r="D59" s="2"/>
    </row>
    <row r="60" spans="2:4" x14ac:dyDescent="0.3">
      <c r="B60" s="2"/>
      <c r="C60" s="2"/>
      <c r="D60" s="2"/>
    </row>
    <row r="61" spans="2:4" x14ac:dyDescent="0.3">
      <c r="B61" s="2"/>
      <c r="C61" s="2"/>
      <c r="D61" s="2"/>
    </row>
    <row r="62" spans="2:4" x14ac:dyDescent="0.3">
      <c r="B62" s="2"/>
      <c r="C62" s="2"/>
      <c r="D62" s="2"/>
    </row>
    <row r="63" spans="2:4" x14ac:dyDescent="0.3">
      <c r="B63" s="2"/>
      <c r="C63" s="2"/>
      <c r="D63" s="2"/>
    </row>
    <row r="64" spans="2:4" x14ac:dyDescent="0.3">
      <c r="B64" s="2"/>
      <c r="C64" s="2"/>
      <c r="D64" s="2"/>
    </row>
    <row r="65" spans="2:4" x14ac:dyDescent="0.3">
      <c r="B65" s="2"/>
      <c r="C65" s="2"/>
      <c r="D65" s="2"/>
    </row>
    <row r="66" spans="2:4" x14ac:dyDescent="0.3">
      <c r="B66" s="2"/>
      <c r="C66" s="2"/>
      <c r="D66" s="2"/>
    </row>
    <row r="67" spans="2:4" x14ac:dyDescent="0.3">
      <c r="B67" s="2"/>
      <c r="C67" s="2"/>
      <c r="D67" s="2"/>
    </row>
    <row r="68" spans="2:4" x14ac:dyDescent="0.3">
      <c r="B68" s="2"/>
      <c r="C68" s="2"/>
      <c r="D68" s="2"/>
    </row>
    <row r="69" spans="2:4" x14ac:dyDescent="0.3">
      <c r="B69" s="2"/>
      <c r="C69" s="2"/>
      <c r="D69" s="2"/>
    </row>
    <row r="70" spans="2:4" x14ac:dyDescent="0.3">
      <c r="B70" s="2"/>
      <c r="C70" s="2"/>
      <c r="D70" s="2"/>
    </row>
    <row r="71" spans="2:4" x14ac:dyDescent="0.3">
      <c r="B71" s="2"/>
      <c r="C71" s="2"/>
      <c r="D71" s="2"/>
    </row>
    <row r="72" spans="2:4" x14ac:dyDescent="0.3">
      <c r="B72" s="2"/>
      <c r="C72" s="2"/>
      <c r="D72" s="2"/>
    </row>
    <row r="73" spans="2:4" x14ac:dyDescent="0.3">
      <c r="B73" s="2"/>
      <c r="C73" s="2"/>
      <c r="D73" s="2"/>
    </row>
    <row r="74" spans="2:4" x14ac:dyDescent="0.3">
      <c r="B74" s="2"/>
      <c r="C74" s="2"/>
      <c r="D74" s="2"/>
    </row>
    <row r="75" spans="2:4" x14ac:dyDescent="0.3">
      <c r="B75" s="2"/>
      <c r="C75" s="2"/>
      <c r="D75" s="2"/>
    </row>
    <row r="76" spans="2:4" x14ac:dyDescent="0.3">
      <c r="B76" s="2"/>
      <c r="C76" s="2"/>
      <c r="D76" s="2"/>
    </row>
    <row r="77" spans="2:4" x14ac:dyDescent="0.3">
      <c r="B77" s="2"/>
      <c r="C77" s="2"/>
      <c r="D77" s="2"/>
    </row>
    <row r="78" spans="2:4" x14ac:dyDescent="0.3">
      <c r="B78" s="2"/>
      <c r="C78" s="2"/>
      <c r="D78" s="2"/>
    </row>
    <row r="79" spans="2:4" x14ac:dyDescent="0.3">
      <c r="B79" s="2"/>
      <c r="C79" s="2"/>
      <c r="D79" s="2"/>
    </row>
    <row r="80" spans="2:4" x14ac:dyDescent="0.3">
      <c r="B80" s="2"/>
      <c r="C80" s="2"/>
      <c r="D80" s="2"/>
    </row>
    <row r="81" spans="2:4" x14ac:dyDescent="0.3">
      <c r="B81" s="2"/>
      <c r="C81" s="2"/>
      <c r="D81" s="2"/>
    </row>
    <row r="82" spans="2:4" x14ac:dyDescent="0.3">
      <c r="B82" s="2"/>
      <c r="C82" s="2"/>
      <c r="D82" s="2"/>
    </row>
    <row r="83" spans="2:4" x14ac:dyDescent="0.3">
      <c r="B83" s="2"/>
      <c r="C83" s="2"/>
      <c r="D83" s="2"/>
    </row>
    <row r="84" spans="2:4" x14ac:dyDescent="0.3">
      <c r="B84" s="2"/>
      <c r="C84" s="2"/>
      <c r="D84" s="2"/>
    </row>
    <row r="85" spans="2:4" x14ac:dyDescent="0.3">
      <c r="B85" s="2"/>
      <c r="C85" s="2"/>
      <c r="D85" s="2"/>
    </row>
    <row r="86" spans="2:4" x14ac:dyDescent="0.3">
      <c r="B86" s="2"/>
      <c r="C86" s="2"/>
      <c r="D86" s="2"/>
    </row>
    <row r="87" spans="2:4" x14ac:dyDescent="0.3">
      <c r="B87" s="2"/>
      <c r="C87" s="2"/>
      <c r="D87" s="2"/>
    </row>
    <row r="88" spans="2:4" x14ac:dyDescent="0.3">
      <c r="B88" s="2"/>
      <c r="C88" s="2"/>
      <c r="D88" s="2"/>
    </row>
    <row r="89" spans="2:4" x14ac:dyDescent="0.3">
      <c r="B89" s="2"/>
      <c r="C89" s="2"/>
      <c r="D89" s="2"/>
    </row>
    <row r="90" spans="2:4" x14ac:dyDescent="0.3">
      <c r="B90" s="2"/>
      <c r="C90" s="2"/>
      <c r="D90" s="2"/>
    </row>
    <row r="91" spans="2:4" x14ac:dyDescent="0.3">
      <c r="B91" s="2"/>
      <c r="C91" s="2"/>
      <c r="D91" s="2"/>
    </row>
    <row r="92" spans="2:4" x14ac:dyDescent="0.3">
      <c r="B92" s="2"/>
      <c r="C92" s="2"/>
      <c r="D92" s="2"/>
    </row>
    <row r="93" spans="2:4" x14ac:dyDescent="0.3">
      <c r="B93" s="2"/>
      <c r="C93" s="2"/>
      <c r="D93" s="2"/>
    </row>
    <row r="94" spans="2:4" x14ac:dyDescent="0.3">
      <c r="B94" s="2"/>
      <c r="C94" s="2"/>
      <c r="D94" s="2"/>
    </row>
    <row r="95" spans="2:4" x14ac:dyDescent="0.3">
      <c r="B95" s="2"/>
      <c r="C95" s="2"/>
      <c r="D95" s="2"/>
    </row>
    <row r="96" spans="2:4" x14ac:dyDescent="0.3">
      <c r="B96" s="2"/>
      <c r="C96" s="2"/>
      <c r="D96" s="2"/>
    </row>
    <row r="97" spans="2:4" x14ac:dyDescent="0.3">
      <c r="B97" s="2"/>
      <c r="C97" s="2"/>
      <c r="D97" s="2"/>
    </row>
    <row r="98" spans="2:4" x14ac:dyDescent="0.3">
      <c r="B98" s="2"/>
      <c r="C98" s="2"/>
      <c r="D98" s="2"/>
    </row>
    <row r="99" spans="2:4" x14ac:dyDescent="0.3">
      <c r="B99" s="2"/>
      <c r="C99" s="2"/>
      <c r="D99" s="2"/>
    </row>
    <row r="100" spans="2:4" x14ac:dyDescent="0.3">
      <c r="B100" s="2"/>
      <c r="C100" s="2"/>
      <c r="D100" s="2"/>
    </row>
    <row r="101" spans="2:4" x14ac:dyDescent="0.3">
      <c r="B101" s="2"/>
      <c r="C101" s="2"/>
      <c r="D101" s="2"/>
    </row>
    <row r="102" spans="2:4" x14ac:dyDescent="0.3">
      <c r="B102" s="2"/>
      <c r="C102" s="2"/>
      <c r="D102" s="2"/>
    </row>
    <row r="103" spans="2:4" x14ac:dyDescent="0.3">
      <c r="B103" s="2"/>
      <c r="C103" s="2"/>
      <c r="D103" s="2"/>
    </row>
    <row r="104" spans="2:4" x14ac:dyDescent="0.3">
      <c r="B104" s="2"/>
      <c r="C104" s="2"/>
      <c r="D104" s="2"/>
    </row>
    <row r="105" spans="2:4" x14ac:dyDescent="0.3">
      <c r="B105" s="2"/>
      <c r="C105" s="2"/>
      <c r="D105" s="2"/>
    </row>
    <row r="106" spans="2:4" x14ac:dyDescent="0.3">
      <c r="B106" s="2"/>
      <c r="C106" s="2"/>
      <c r="D106" s="2"/>
    </row>
    <row r="107" spans="2:4" x14ac:dyDescent="0.3">
      <c r="B107" s="2"/>
      <c r="C107" s="2"/>
      <c r="D107" s="2"/>
    </row>
    <row r="108" spans="2:4" x14ac:dyDescent="0.3">
      <c r="B108" s="2"/>
      <c r="C108" s="2"/>
      <c r="D108" s="2"/>
    </row>
    <row r="109" spans="2:4" x14ac:dyDescent="0.3">
      <c r="B109" s="2"/>
      <c r="C109" s="2"/>
      <c r="D109" s="2"/>
    </row>
    <row r="110" spans="2:4" x14ac:dyDescent="0.3">
      <c r="B110" s="2"/>
      <c r="C110" s="2"/>
      <c r="D110" s="2"/>
    </row>
    <row r="111" spans="2:4" x14ac:dyDescent="0.3">
      <c r="B111" s="2"/>
      <c r="C111" s="2"/>
      <c r="D111" s="2"/>
    </row>
    <row r="112" spans="2:4" x14ac:dyDescent="0.3">
      <c r="B112" s="2"/>
      <c r="C112" s="2"/>
      <c r="D112" s="2"/>
    </row>
    <row r="113" spans="2:4" x14ac:dyDescent="0.3">
      <c r="B113" s="2"/>
      <c r="C113" s="2"/>
      <c r="D113" s="2"/>
    </row>
    <row r="114" spans="2:4" x14ac:dyDescent="0.3">
      <c r="B114" s="2"/>
      <c r="C114" s="2"/>
      <c r="D114" s="2"/>
    </row>
    <row r="115" spans="2:4" x14ac:dyDescent="0.3">
      <c r="B115" s="2"/>
      <c r="C115" s="2"/>
      <c r="D115" s="2"/>
    </row>
    <row r="116" spans="2:4" x14ac:dyDescent="0.3">
      <c r="B116" s="2"/>
      <c r="C116" s="2"/>
      <c r="D116" s="2"/>
    </row>
    <row r="117" spans="2:4" x14ac:dyDescent="0.3">
      <c r="B117" s="2"/>
      <c r="C117" s="2"/>
      <c r="D117" s="2"/>
    </row>
    <row r="118" spans="2:4" x14ac:dyDescent="0.3">
      <c r="B118" s="2"/>
      <c r="C118" s="2"/>
      <c r="D118" s="2"/>
    </row>
    <row r="119" spans="2:4" x14ac:dyDescent="0.3">
      <c r="B119" s="2"/>
      <c r="C119" s="2"/>
      <c r="D119" s="2"/>
    </row>
    <row r="120" spans="2:4" x14ac:dyDescent="0.3">
      <c r="B120" s="2"/>
      <c r="C120" s="2"/>
      <c r="D120" s="2"/>
    </row>
    <row r="121" spans="2:4" x14ac:dyDescent="0.3">
      <c r="B121" s="2"/>
      <c r="C121" s="2"/>
      <c r="D121" s="2"/>
    </row>
    <row r="122" spans="2:4" x14ac:dyDescent="0.3">
      <c r="B122" s="2"/>
      <c r="C122" s="2"/>
      <c r="D122" s="2"/>
    </row>
    <row r="123" spans="2:4" x14ac:dyDescent="0.3">
      <c r="B123" s="2"/>
      <c r="C123" s="2"/>
      <c r="D123" s="2"/>
    </row>
    <row r="124" spans="2:4" x14ac:dyDescent="0.3">
      <c r="B124" s="2"/>
      <c r="C124" s="2"/>
      <c r="D124" s="2"/>
    </row>
    <row r="125" spans="2:4" x14ac:dyDescent="0.3">
      <c r="B125" s="2"/>
      <c r="C125" s="2"/>
      <c r="D125" s="2"/>
    </row>
    <row r="126" spans="2:4" x14ac:dyDescent="0.3">
      <c r="B126" s="2"/>
      <c r="C126" s="2"/>
      <c r="D126" s="2"/>
    </row>
    <row r="127" spans="2:4" x14ac:dyDescent="0.3">
      <c r="B127" s="2"/>
      <c r="C127" s="2"/>
      <c r="D127" s="2"/>
    </row>
    <row r="128" spans="2:4" x14ac:dyDescent="0.3">
      <c r="B128" s="2"/>
      <c r="C128" s="2"/>
      <c r="D128" s="2"/>
    </row>
    <row r="129" spans="2:4" x14ac:dyDescent="0.3">
      <c r="B129" s="2"/>
      <c r="C129" s="2"/>
      <c r="D129" s="2"/>
    </row>
    <row r="130" spans="2:4" x14ac:dyDescent="0.3">
      <c r="B130" s="2"/>
      <c r="C130" s="2"/>
      <c r="D130" s="2"/>
    </row>
    <row r="131" spans="2:4" x14ac:dyDescent="0.3">
      <c r="B131" s="2"/>
      <c r="C131" s="2"/>
      <c r="D131" s="2"/>
    </row>
    <row r="132" spans="2:4" x14ac:dyDescent="0.3">
      <c r="B132" s="2"/>
      <c r="C132" s="2"/>
      <c r="D132" s="2"/>
    </row>
    <row r="133" spans="2:4" x14ac:dyDescent="0.3">
      <c r="B133" s="2"/>
      <c r="C133" s="2"/>
      <c r="D133" s="2"/>
    </row>
    <row r="134" spans="2:4" x14ac:dyDescent="0.3">
      <c r="B134" s="2"/>
      <c r="C134" s="2"/>
      <c r="D134" s="2"/>
    </row>
    <row r="135" spans="2:4" x14ac:dyDescent="0.3">
      <c r="B135" s="2"/>
      <c r="C135" s="2"/>
      <c r="D135" s="2"/>
    </row>
    <row r="136" spans="2:4" x14ac:dyDescent="0.3">
      <c r="B136" s="2"/>
      <c r="C136" s="2"/>
      <c r="D136" s="2"/>
    </row>
    <row r="137" spans="2:4" x14ac:dyDescent="0.3">
      <c r="B137" s="2"/>
      <c r="C137" s="2"/>
      <c r="D137" s="2"/>
    </row>
    <row r="138" spans="2:4" x14ac:dyDescent="0.3">
      <c r="B138" s="2"/>
      <c r="C138" s="2"/>
      <c r="D138" s="2"/>
    </row>
    <row r="139" spans="2:4" x14ac:dyDescent="0.3">
      <c r="B139" s="2"/>
      <c r="C139" s="2"/>
      <c r="D139" s="2"/>
    </row>
    <row r="140" spans="2:4" x14ac:dyDescent="0.3">
      <c r="B140" s="2"/>
      <c r="C140" s="2"/>
      <c r="D140" s="2"/>
    </row>
    <row r="141" spans="2:4" x14ac:dyDescent="0.3">
      <c r="B141" s="2"/>
      <c r="C141" s="2"/>
      <c r="D141" s="2"/>
    </row>
    <row r="142" spans="2:4" x14ac:dyDescent="0.3">
      <c r="B142" s="2"/>
      <c r="C142" s="2"/>
      <c r="D142" s="2"/>
    </row>
    <row r="143" spans="2:4" x14ac:dyDescent="0.3">
      <c r="B143" s="2"/>
      <c r="C143" s="2"/>
      <c r="D143" s="2"/>
    </row>
    <row r="144" spans="2:4" x14ac:dyDescent="0.3">
      <c r="B144" s="2"/>
      <c r="C144" s="2"/>
      <c r="D144" s="2"/>
    </row>
    <row r="145" spans="2:4" x14ac:dyDescent="0.3">
      <c r="B145" s="2"/>
      <c r="C145" s="2"/>
      <c r="D145" s="2"/>
    </row>
    <row r="146" spans="2:4" x14ac:dyDescent="0.3">
      <c r="B146" s="2"/>
      <c r="C146" s="2"/>
      <c r="D146" s="2"/>
    </row>
    <row r="147" spans="2:4" x14ac:dyDescent="0.3">
      <c r="B147" s="2"/>
      <c r="C147" s="2"/>
      <c r="D147" s="2"/>
    </row>
    <row r="148" spans="2:4" x14ac:dyDescent="0.3">
      <c r="B148" s="2"/>
      <c r="C148" s="2"/>
      <c r="D148" s="2"/>
    </row>
    <row r="149" spans="2:4" x14ac:dyDescent="0.3">
      <c r="B149" s="2"/>
      <c r="C149" s="2"/>
      <c r="D149" s="2"/>
    </row>
    <row r="150" spans="2:4" x14ac:dyDescent="0.3">
      <c r="B150" s="2"/>
      <c r="C150" s="2"/>
      <c r="D150" s="2"/>
    </row>
    <row r="151" spans="2:4" x14ac:dyDescent="0.3">
      <c r="B151" s="2"/>
      <c r="C151" s="2"/>
      <c r="D151" s="2"/>
    </row>
    <row r="152" spans="2:4" x14ac:dyDescent="0.3">
      <c r="B152" s="2"/>
      <c r="C152" s="2"/>
      <c r="D152" s="2"/>
    </row>
    <row r="153" spans="2:4" x14ac:dyDescent="0.3">
      <c r="B153" s="2"/>
      <c r="C153" s="2"/>
      <c r="D153" s="2"/>
    </row>
    <row r="154" spans="2:4" x14ac:dyDescent="0.3">
      <c r="B154" s="2"/>
      <c r="C154" s="2"/>
      <c r="D154" s="2"/>
    </row>
    <row r="155" spans="2:4" x14ac:dyDescent="0.3">
      <c r="B155" s="2"/>
      <c r="C155" s="2"/>
      <c r="D155" s="2"/>
    </row>
    <row r="156" spans="2:4" x14ac:dyDescent="0.3">
      <c r="B156" s="2"/>
      <c r="C156" s="2"/>
      <c r="D156" s="2"/>
    </row>
    <row r="157" spans="2:4" x14ac:dyDescent="0.3">
      <c r="B157" s="2"/>
      <c r="C157" s="2"/>
      <c r="D157" s="2"/>
    </row>
    <row r="158" spans="2:4" x14ac:dyDescent="0.3">
      <c r="B158" s="2"/>
      <c r="C158" s="2"/>
      <c r="D158" s="2"/>
    </row>
    <row r="159" spans="2:4" x14ac:dyDescent="0.3">
      <c r="B159" s="2"/>
      <c r="C159" s="2"/>
      <c r="D159" s="2"/>
    </row>
    <row r="160" spans="2:4" x14ac:dyDescent="0.3">
      <c r="B160" s="2"/>
      <c r="C160" s="2"/>
      <c r="D160" s="2"/>
    </row>
  </sheetData>
  <mergeCells count="8">
    <mergeCell ref="B8:D8"/>
    <mergeCell ref="B9:D9"/>
    <mergeCell ref="B10:D10"/>
    <mergeCell ref="B2:D2"/>
    <mergeCell ref="B3:D3"/>
    <mergeCell ref="B5:D5"/>
    <mergeCell ref="B6:D6"/>
    <mergeCell ref="B7:D7"/>
  </mergeCells>
  <phoneticPr fontId="12"/>
  <pageMargins left="0.25" right="0.25" top="0.4" bottom="0.4" header="0.2" footer="0.2"/>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F3296"/>
    <pageSetUpPr fitToPage="1"/>
  </sheetPr>
  <dimension ref="B1:C160"/>
  <sheetViews>
    <sheetView showGridLines="0" zoomScale="90" workbookViewId="0">
      <pane ySplit="3" topLeftCell="A4" activePane="bottomLeft" state="frozen"/>
      <selection pane="bottomLeft"/>
    </sheetView>
  </sheetViews>
  <sheetFormatPr defaultRowHeight="14" x14ac:dyDescent="0.3"/>
  <cols>
    <col min="1" max="1" width="2.6640625" customWidth="1"/>
    <col min="2" max="2" width="25.58203125" customWidth="1"/>
    <col min="3" max="3" width="87.75" customWidth="1"/>
  </cols>
  <sheetData>
    <row r="1" spans="2:3" x14ac:dyDescent="0.3">
      <c r="B1" s="3"/>
      <c r="C1" s="3"/>
    </row>
    <row r="2" spans="2:3" ht="27" customHeight="1" x14ac:dyDescent="0.3">
      <c r="B2" s="43" t="s">
        <v>48</v>
      </c>
      <c r="C2" s="43"/>
    </row>
    <row r="3" spans="2:3" ht="21" customHeight="1" x14ac:dyDescent="0.3">
      <c r="B3" s="44" t="s">
        <v>49</v>
      </c>
      <c r="C3" s="44"/>
    </row>
    <row r="4" spans="2:3" x14ac:dyDescent="0.3">
      <c r="B4" s="3"/>
      <c r="C4" s="3"/>
    </row>
    <row r="5" spans="2:3" ht="23.25" customHeight="1" x14ac:dyDescent="0.3">
      <c r="B5" s="39" t="s">
        <v>50</v>
      </c>
      <c r="C5" s="41"/>
    </row>
    <row r="6" spans="2:3" ht="23.25" customHeight="1" x14ac:dyDescent="0.3">
      <c r="B6" s="39" t="s">
        <v>51</v>
      </c>
      <c r="C6" s="41"/>
    </row>
    <row r="7" spans="2:3" ht="24" customHeight="1" x14ac:dyDescent="0.3">
      <c r="B7" s="5" t="s">
        <v>52</v>
      </c>
      <c r="C7" s="7" t="s">
        <v>53</v>
      </c>
    </row>
    <row r="8" spans="2:3" ht="28.5" customHeight="1" x14ac:dyDescent="0.3">
      <c r="B8" s="8" t="s">
        <v>54</v>
      </c>
      <c r="C8" s="8" t="s">
        <v>55</v>
      </c>
    </row>
    <row r="9" spans="2:3" ht="28.5" customHeight="1" x14ac:dyDescent="0.3">
      <c r="B9" s="9" t="s">
        <v>56</v>
      </c>
      <c r="C9" s="9" t="s">
        <v>57</v>
      </c>
    </row>
    <row r="10" spans="2:3" ht="28.5" customHeight="1" x14ac:dyDescent="0.3">
      <c r="B10" s="8" t="s">
        <v>58</v>
      </c>
      <c r="C10" s="8" t="s">
        <v>59</v>
      </c>
    </row>
    <row r="11" spans="2:3" ht="28.5" customHeight="1" x14ac:dyDescent="0.3">
      <c r="B11" s="9" t="s">
        <v>60</v>
      </c>
      <c r="C11" s="9" t="s">
        <v>61</v>
      </c>
    </row>
    <row r="12" spans="2:3" x14ac:dyDescent="0.3">
      <c r="B12" s="3"/>
      <c r="C12" s="3"/>
    </row>
    <row r="13" spans="2:3" ht="23.25" customHeight="1" x14ac:dyDescent="0.3">
      <c r="B13" s="39" t="s">
        <v>62</v>
      </c>
      <c r="C13" s="41"/>
    </row>
    <row r="14" spans="2:3" ht="24" customHeight="1" x14ac:dyDescent="0.3">
      <c r="B14" s="38" t="s">
        <v>63</v>
      </c>
      <c r="C14" s="38"/>
    </row>
    <row r="15" spans="2:3" ht="37.5" customHeight="1" x14ac:dyDescent="0.3">
      <c r="B15" s="38" t="s">
        <v>64</v>
      </c>
      <c r="C15" s="38"/>
    </row>
    <row r="16" spans="2:3" ht="37.5" customHeight="1" x14ac:dyDescent="0.3">
      <c r="B16" s="38" t="s">
        <v>65</v>
      </c>
      <c r="C16" s="38"/>
    </row>
    <row r="17" spans="2:3" x14ac:dyDescent="0.3">
      <c r="B17" s="3"/>
      <c r="C17" s="3"/>
    </row>
    <row r="18" spans="2:3" ht="23.25" customHeight="1" x14ac:dyDescent="0.3">
      <c r="B18" s="39" t="s">
        <v>66</v>
      </c>
      <c r="C18" s="41"/>
    </row>
    <row r="19" spans="2:3" ht="24" customHeight="1" x14ac:dyDescent="0.3">
      <c r="B19" s="38" t="s">
        <v>67</v>
      </c>
      <c r="C19" s="38"/>
    </row>
    <row r="20" spans="2:3" ht="24" customHeight="1" x14ac:dyDescent="0.3">
      <c r="B20" s="38" t="s">
        <v>68</v>
      </c>
      <c r="C20" s="38"/>
    </row>
    <row r="21" spans="2:3" ht="24" customHeight="1" x14ac:dyDescent="0.3">
      <c r="B21" s="38" t="s">
        <v>69</v>
      </c>
      <c r="C21" s="38"/>
    </row>
    <row r="22" spans="2:3" ht="24" customHeight="1" x14ac:dyDescent="0.3">
      <c r="B22" s="38" t="s">
        <v>70</v>
      </c>
      <c r="C22" s="38"/>
    </row>
    <row r="23" spans="2:3" ht="24" customHeight="1" x14ac:dyDescent="0.3">
      <c r="B23" s="38" t="s">
        <v>71</v>
      </c>
      <c r="C23" s="38"/>
    </row>
    <row r="24" spans="2:3" ht="24" customHeight="1" x14ac:dyDescent="0.3">
      <c r="B24" s="38" t="s">
        <v>72</v>
      </c>
      <c r="C24" s="38"/>
    </row>
    <row r="25" spans="2:3" ht="24" customHeight="1" x14ac:dyDescent="0.3">
      <c r="B25" s="38" t="s">
        <v>73</v>
      </c>
      <c r="C25" s="38"/>
    </row>
    <row r="26" spans="2:3" ht="37.5" customHeight="1" x14ac:dyDescent="0.3">
      <c r="B26" s="38" t="s">
        <v>74</v>
      </c>
      <c r="C26" s="38"/>
    </row>
    <row r="27" spans="2:3" x14ac:dyDescent="0.3">
      <c r="B27" s="3"/>
      <c r="C27" s="3"/>
    </row>
    <row r="28" spans="2:3" x14ac:dyDescent="0.3">
      <c r="B28" s="3"/>
      <c r="C28" s="3"/>
    </row>
    <row r="29" spans="2:3" x14ac:dyDescent="0.3">
      <c r="B29" s="2"/>
      <c r="C29" s="2"/>
    </row>
    <row r="30" spans="2:3" x14ac:dyDescent="0.3">
      <c r="B30" s="2"/>
      <c r="C30" s="2"/>
    </row>
    <row r="31" spans="2:3" x14ac:dyDescent="0.3">
      <c r="B31" s="2"/>
      <c r="C31" s="2"/>
    </row>
    <row r="32" spans="2:3" x14ac:dyDescent="0.3">
      <c r="B32" s="2"/>
      <c r="C32" s="2"/>
    </row>
    <row r="33" spans="2:3" x14ac:dyDescent="0.3">
      <c r="B33" s="2"/>
      <c r="C33" s="2"/>
    </row>
    <row r="34" spans="2:3" x14ac:dyDescent="0.3">
      <c r="B34" s="2"/>
      <c r="C34" s="2"/>
    </row>
    <row r="35" spans="2:3" x14ac:dyDescent="0.3">
      <c r="B35" s="2"/>
      <c r="C35" s="2"/>
    </row>
    <row r="36" spans="2:3" x14ac:dyDescent="0.3">
      <c r="B36" s="2"/>
      <c r="C36" s="2"/>
    </row>
    <row r="37" spans="2:3" x14ac:dyDescent="0.3">
      <c r="B37" s="2"/>
      <c r="C37" s="2"/>
    </row>
    <row r="38" spans="2:3" x14ac:dyDescent="0.3">
      <c r="B38" s="2"/>
      <c r="C38" s="2"/>
    </row>
    <row r="39" spans="2:3" x14ac:dyDescent="0.3">
      <c r="B39" s="2"/>
      <c r="C39" s="2"/>
    </row>
    <row r="40" spans="2:3" x14ac:dyDescent="0.3">
      <c r="B40" s="2"/>
      <c r="C40" s="2"/>
    </row>
    <row r="41" spans="2:3" x14ac:dyDescent="0.3">
      <c r="B41" s="2"/>
      <c r="C41" s="2"/>
    </row>
    <row r="42" spans="2:3" x14ac:dyDescent="0.3">
      <c r="B42" s="2"/>
      <c r="C42" s="2"/>
    </row>
    <row r="43" spans="2:3" x14ac:dyDescent="0.3">
      <c r="B43" s="2"/>
      <c r="C43" s="2"/>
    </row>
    <row r="44" spans="2:3" x14ac:dyDescent="0.3">
      <c r="B44" s="2"/>
      <c r="C44" s="2"/>
    </row>
    <row r="45" spans="2:3" x14ac:dyDescent="0.3">
      <c r="B45" s="2"/>
      <c r="C45" s="2"/>
    </row>
    <row r="46" spans="2:3" x14ac:dyDescent="0.3">
      <c r="B46" s="2"/>
      <c r="C46" s="2"/>
    </row>
    <row r="47" spans="2:3" x14ac:dyDescent="0.3">
      <c r="B47" s="2"/>
      <c r="C47" s="2"/>
    </row>
    <row r="48" spans="2:3" x14ac:dyDescent="0.3">
      <c r="B48" s="2"/>
      <c r="C48" s="2"/>
    </row>
    <row r="49" spans="2:3" x14ac:dyDescent="0.3">
      <c r="B49" s="2"/>
      <c r="C49" s="2"/>
    </row>
    <row r="50" spans="2:3" x14ac:dyDescent="0.3">
      <c r="B50" s="2"/>
      <c r="C50" s="2"/>
    </row>
    <row r="51" spans="2:3" x14ac:dyDescent="0.3">
      <c r="B51" s="2"/>
      <c r="C51" s="2"/>
    </row>
    <row r="52" spans="2:3" x14ac:dyDescent="0.3">
      <c r="B52" s="2"/>
      <c r="C52" s="2"/>
    </row>
    <row r="53" spans="2:3" x14ac:dyDescent="0.3">
      <c r="B53" s="2"/>
      <c r="C53" s="2"/>
    </row>
    <row r="54" spans="2:3" x14ac:dyDescent="0.3">
      <c r="B54" s="2"/>
      <c r="C54" s="2"/>
    </row>
    <row r="55" spans="2:3" x14ac:dyDescent="0.3">
      <c r="B55" s="2"/>
      <c r="C55" s="2"/>
    </row>
    <row r="56" spans="2:3" x14ac:dyDescent="0.3">
      <c r="B56" s="2"/>
      <c r="C56" s="2"/>
    </row>
    <row r="57" spans="2:3" x14ac:dyDescent="0.3">
      <c r="B57" s="2"/>
      <c r="C57" s="2"/>
    </row>
    <row r="58" spans="2:3" x14ac:dyDescent="0.3">
      <c r="B58" s="2"/>
      <c r="C58" s="2"/>
    </row>
    <row r="59" spans="2:3" x14ac:dyDescent="0.3">
      <c r="B59" s="2"/>
      <c r="C59" s="2"/>
    </row>
    <row r="60" spans="2:3" x14ac:dyDescent="0.3">
      <c r="B60" s="2"/>
      <c r="C60" s="2"/>
    </row>
    <row r="61" spans="2:3" x14ac:dyDescent="0.3">
      <c r="B61" s="2"/>
      <c r="C61" s="2"/>
    </row>
    <row r="62" spans="2:3" x14ac:dyDescent="0.3">
      <c r="B62" s="2"/>
      <c r="C62" s="2"/>
    </row>
    <row r="63" spans="2:3" x14ac:dyDescent="0.3">
      <c r="B63" s="2"/>
      <c r="C63" s="2"/>
    </row>
    <row r="64" spans="2:3" x14ac:dyDescent="0.3">
      <c r="B64" s="2"/>
      <c r="C64" s="2"/>
    </row>
    <row r="65" spans="2:3" x14ac:dyDescent="0.3">
      <c r="B65" s="2"/>
      <c r="C65" s="2"/>
    </row>
    <row r="66" spans="2:3" x14ac:dyDescent="0.3">
      <c r="B66" s="2"/>
      <c r="C66" s="2"/>
    </row>
    <row r="67" spans="2:3" x14ac:dyDescent="0.3">
      <c r="B67" s="2"/>
      <c r="C67" s="2"/>
    </row>
    <row r="68" spans="2:3" x14ac:dyDescent="0.3">
      <c r="B68" s="2"/>
      <c r="C68" s="2"/>
    </row>
    <row r="69" spans="2:3" x14ac:dyDescent="0.3">
      <c r="B69" s="2"/>
      <c r="C69" s="2"/>
    </row>
    <row r="70" spans="2:3" x14ac:dyDescent="0.3">
      <c r="B70" s="2"/>
      <c r="C70" s="2"/>
    </row>
    <row r="71" spans="2:3" x14ac:dyDescent="0.3">
      <c r="B71" s="2"/>
      <c r="C71" s="2"/>
    </row>
    <row r="72" spans="2:3" x14ac:dyDescent="0.3">
      <c r="B72" s="2"/>
      <c r="C72" s="2"/>
    </row>
    <row r="73" spans="2:3" x14ac:dyDescent="0.3">
      <c r="B73" s="2"/>
      <c r="C73" s="2"/>
    </row>
    <row r="74" spans="2:3" x14ac:dyDescent="0.3">
      <c r="B74" s="2"/>
      <c r="C74" s="2"/>
    </row>
    <row r="75" spans="2:3" x14ac:dyDescent="0.3">
      <c r="B75" s="2"/>
      <c r="C75" s="2"/>
    </row>
    <row r="76" spans="2:3" x14ac:dyDescent="0.3">
      <c r="B76" s="2"/>
      <c r="C76" s="2"/>
    </row>
    <row r="77" spans="2:3" x14ac:dyDescent="0.3">
      <c r="B77" s="2"/>
      <c r="C77" s="2"/>
    </row>
    <row r="78" spans="2:3" x14ac:dyDescent="0.3">
      <c r="B78" s="2"/>
      <c r="C78" s="2"/>
    </row>
    <row r="79" spans="2:3" x14ac:dyDescent="0.3">
      <c r="B79" s="2"/>
      <c r="C79" s="2"/>
    </row>
    <row r="80" spans="2:3" x14ac:dyDescent="0.3">
      <c r="B80" s="2"/>
      <c r="C80" s="2"/>
    </row>
    <row r="81" spans="2:3" x14ac:dyDescent="0.3">
      <c r="B81" s="2"/>
      <c r="C81" s="2"/>
    </row>
    <row r="82" spans="2:3" x14ac:dyDescent="0.3">
      <c r="B82" s="2"/>
      <c r="C82" s="2"/>
    </row>
    <row r="83" spans="2:3" x14ac:dyDescent="0.3">
      <c r="B83" s="2"/>
      <c r="C83" s="2"/>
    </row>
    <row r="84" spans="2:3" x14ac:dyDescent="0.3">
      <c r="B84" s="2"/>
      <c r="C84" s="2"/>
    </row>
    <row r="85" spans="2:3" x14ac:dyDescent="0.3">
      <c r="B85" s="2"/>
      <c r="C85" s="2"/>
    </row>
    <row r="86" spans="2:3" x14ac:dyDescent="0.3">
      <c r="B86" s="2"/>
      <c r="C86" s="2"/>
    </row>
    <row r="87" spans="2:3" x14ac:dyDescent="0.3">
      <c r="B87" s="2"/>
      <c r="C87" s="2"/>
    </row>
    <row r="88" spans="2:3" x14ac:dyDescent="0.3">
      <c r="B88" s="2"/>
      <c r="C88" s="2"/>
    </row>
    <row r="89" spans="2:3" x14ac:dyDescent="0.3">
      <c r="B89" s="2"/>
      <c r="C89" s="2"/>
    </row>
    <row r="90" spans="2:3" x14ac:dyDescent="0.3">
      <c r="B90" s="2"/>
      <c r="C90" s="2"/>
    </row>
    <row r="91" spans="2:3" x14ac:dyDescent="0.3">
      <c r="B91" s="2"/>
      <c r="C91" s="2"/>
    </row>
    <row r="92" spans="2:3" x14ac:dyDescent="0.3">
      <c r="B92" s="2"/>
      <c r="C92" s="2"/>
    </row>
    <row r="93" spans="2:3" x14ac:dyDescent="0.3">
      <c r="B93" s="2"/>
      <c r="C93" s="2"/>
    </row>
    <row r="94" spans="2:3" x14ac:dyDescent="0.3">
      <c r="B94" s="2"/>
      <c r="C94" s="2"/>
    </row>
    <row r="95" spans="2:3" x14ac:dyDescent="0.3">
      <c r="B95" s="2"/>
      <c r="C95" s="2"/>
    </row>
    <row r="96" spans="2:3" x14ac:dyDescent="0.3">
      <c r="B96" s="2"/>
      <c r="C96" s="2"/>
    </row>
    <row r="97" spans="2:3" x14ac:dyDescent="0.3">
      <c r="B97" s="2"/>
      <c r="C97" s="2"/>
    </row>
    <row r="98" spans="2:3" x14ac:dyDescent="0.3">
      <c r="B98" s="2"/>
      <c r="C98" s="2"/>
    </row>
    <row r="99" spans="2:3" x14ac:dyDescent="0.3">
      <c r="B99" s="2"/>
      <c r="C99" s="2"/>
    </row>
    <row r="100" spans="2:3" x14ac:dyDescent="0.3">
      <c r="B100" s="2"/>
      <c r="C100" s="2"/>
    </row>
    <row r="101" spans="2:3" x14ac:dyDescent="0.3">
      <c r="B101" s="2"/>
      <c r="C101" s="2"/>
    </row>
    <row r="102" spans="2:3" x14ac:dyDescent="0.3">
      <c r="B102" s="2"/>
      <c r="C102" s="2"/>
    </row>
    <row r="103" spans="2:3" x14ac:dyDescent="0.3">
      <c r="B103" s="2"/>
      <c r="C103" s="2"/>
    </row>
    <row r="104" spans="2:3" x14ac:dyDescent="0.3">
      <c r="B104" s="2"/>
      <c r="C104" s="2"/>
    </row>
    <row r="105" spans="2:3" x14ac:dyDescent="0.3">
      <c r="B105" s="2"/>
      <c r="C105" s="2"/>
    </row>
    <row r="106" spans="2:3" x14ac:dyDescent="0.3">
      <c r="B106" s="2"/>
      <c r="C106" s="2"/>
    </row>
    <row r="107" spans="2:3" x14ac:dyDescent="0.3">
      <c r="B107" s="2"/>
      <c r="C107" s="2"/>
    </row>
    <row r="108" spans="2:3" x14ac:dyDescent="0.3">
      <c r="B108" s="2"/>
      <c r="C108" s="2"/>
    </row>
    <row r="109" spans="2:3" x14ac:dyDescent="0.3">
      <c r="B109" s="2"/>
      <c r="C109" s="2"/>
    </row>
    <row r="110" spans="2:3" x14ac:dyDescent="0.3">
      <c r="B110" s="2"/>
      <c r="C110" s="2"/>
    </row>
    <row r="111" spans="2:3" x14ac:dyDescent="0.3">
      <c r="B111" s="2"/>
      <c r="C111" s="2"/>
    </row>
    <row r="112" spans="2:3" x14ac:dyDescent="0.3">
      <c r="B112" s="2"/>
      <c r="C112" s="2"/>
    </row>
    <row r="113" spans="2:3" x14ac:dyDescent="0.3">
      <c r="B113" s="2"/>
      <c r="C113" s="2"/>
    </row>
    <row r="114" spans="2:3" x14ac:dyDescent="0.3">
      <c r="B114" s="2"/>
      <c r="C114" s="2"/>
    </row>
    <row r="115" spans="2:3" x14ac:dyDescent="0.3">
      <c r="B115" s="2"/>
      <c r="C115" s="2"/>
    </row>
    <row r="116" spans="2:3" x14ac:dyDescent="0.3">
      <c r="B116" s="2"/>
      <c r="C116" s="2"/>
    </row>
    <row r="117" spans="2:3" x14ac:dyDescent="0.3">
      <c r="B117" s="2"/>
      <c r="C117" s="2"/>
    </row>
    <row r="118" spans="2:3" x14ac:dyDescent="0.3">
      <c r="B118" s="2"/>
      <c r="C118" s="2"/>
    </row>
    <row r="119" spans="2:3" x14ac:dyDescent="0.3">
      <c r="B119" s="2"/>
      <c r="C119" s="2"/>
    </row>
    <row r="120" spans="2:3" x14ac:dyDescent="0.3">
      <c r="B120" s="2"/>
      <c r="C120" s="2"/>
    </row>
    <row r="121" spans="2:3" x14ac:dyDescent="0.3">
      <c r="B121" s="2"/>
      <c r="C121" s="2"/>
    </row>
    <row r="122" spans="2:3" x14ac:dyDescent="0.3">
      <c r="B122" s="2"/>
      <c r="C122" s="2"/>
    </row>
    <row r="123" spans="2:3" x14ac:dyDescent="0.3">
      <c r="B123" s="2"/>
      <c r="C123" s="2"/>
    </row>
    <row r="124" spans="2:3" x14ac:dyDescent="0.3">
      <c r="B124" s="2"/>
      <c r="C124" s="2"/>
    </row>
    <row r="125" spans="2:3" x14ac:dyDescent="0.3">
      <c r="B125" s="2"/>
      <c r="C125" s="2"/>
    </row>
    <row r="126" spans="2:3" x14ac:dyDescent="0.3">
      <c r="B126" s="2"/>
      <c r="C126" s="2"/>
    </row>
    <row r="127" spans="2:3" x14ac:dyDescent="0.3">
      <c r="B127" s="2"/>
      <c r="C127" s="2"/>
    </row>
    <row r="128" spans="2:3" x14ac:dyDescent="0.3">
      <c r="B128" s="2"/>
      <c r="C128" s="2"/>
    </row>
    <row r="129" spans="2:3" x14ac:dyDescent="0.3">
      <c r="B129" s="2"/>
      <c r="C129" s="2"/>
    </row>
    <row r="130" spans="2:3" x14ac:dyDescent="0.3">
      <c r="B130" s="2"/>
      <c r="C130" s="2"/>
    </row>
    <row r="131" spans="2:3" x14ac:dyDescent="0.3">
      <c r="B131" s="2"/>
      <c r="C131" s="2"/>
    </row>
    <row r="132" spans="2:3" x14ac:dyDescent="0.3">
      <c r="B132" s="2"/>
      <c r="C132" s="2"/>
    </row>
    <row r="133" spans="2:3" x14ac:dyDescent="0.3">
      <c r="B133" s="2"/>
      <c r="C133" s="2"/>
    </row>
    <row r="134" spans="2:3" x14ac:dyDescent="0.3">
      <c r="B134" s="2"/>
      <c r="C134" s="2"/>
    </row>
    <row r="135" spans="2:3" x14ac:dyDescent="0.3">
      <c r="B135" s="2"/>
      <c r="C135" s="2"/>
    </row>
    <row r="136" spans="2:3" x14ac:dyDescent="0.3">
      <c r="B136" s="2"/>
      <c r="C136" s="2"/>
    </row>
    <row r="137" spans="2:3" x14ac:dyDescent="0.3">
      <c r="B137" s="2"/>
      <c r="C137" s="2"/>
    </row>
    <row r="138" spans="2:3" x14ac:dyDescent="0.3">
      <c r="B138" s="2"/>
      <c r="C138" s="2"/>
    </row>
    <row r="139" spans="2:3" x14ac:dyDescent="0.3">
      <c r="B139" s="2"/>
      <c r="C139" s="2"/>
    </row>
    <row r="140" spans="2:3" x14ac:dyDescent="0.3">
      <c r="B140" s="2"/>
      <c r="C140" s="2"/>
    </row>
    <row r="141" spans="2:3" x14ac:dyDescent="0.3">
      <c r="B141" s="2"/>
      <c r="C141" s="2"/>
    </row>
    <row r="142" spans="2:3" x14ac:dyDescent="0.3">
      <c r="B142" s="2"/>
      <c r="C142" s="2"/>
    </row>
    <row r="143" spans="2:3" x14ac:dyDescent="0.3">
      <c r="B143" s="2"/>
      <c r="C143" s="2"/>
    </row>
    <row r="144" spans="2:3" x14ac:dyDescent="0.3">
      <c r="B144" s="2"/>
      <c r="C144" s="2"/>
    </row>
    <row r="145" spans="2:3" x14ac:dyDescent="0.3">
      <c r="B145" s="2"/>
      <c r="C145" s="2"/>
    </row>
    <row r="146" spans="2:3" x14ac:dyDescent="0.3">
      <c r="B146" s="2"/>
      <c r="C146" s="2"/>
    </row>
    <row r="147" spans="2:3" x14ac:dyDescent="0.3">
      <c r="B147" s="2"/>
      <c r="C147" s="2"/>
    </row>
    <row r="148" spans="2:3" x14ac:dyDescent="0.3">
      <c r="B148" s="2"/>
      <c r="C148" s="2"/>
    </row>
    <row r="149" spans="2:3" x14ac:dyDescent="0.3">
      <c r="B149" s="2"/>
      <c r="C149" s="2"/>
    </row>
    <row r="150" spans="2:3" x14ac:dyDescent="0.3">
      <c r="B150" s="2"/>
      <c r="C150" s="2"/>
    </row>
    <row r="151" spans="2:3" x14ac:dyDescent="0.3">
      <c r="B151" s="2"/>
      <c r="C151" s="2"/>
    </row>
    <row r="152" spans="2:3" x14ac:dyDescent="0.3">
      <c r="B152" s="2"/>
      <c r="C152" s="2"/>
    </row>
    <row r="153" spans="2:3" x14ac:dyDescent="0.3">
      <c r="B153" s="2"/>
      <c r="C153" s="2"/>
    </row>
    <row r="154" spans="2:3" x14ac:dyDescent="0.3">
      <c r="B154" s="2"/>
      <c r="C154" s="2"/>
    </row>
    <row r="155" spans="2:3" x14ac:dyDescent="0.3">
      <c r="B155" s="2"/>
      <c r="C155" s="2"/>
    </row>
    <row r="156" spans="2:3" x14ac:dyDescent="0.3">
      <c r="B156" s="2"/>
      <c r="C156" s="2"/>
    </row>
    <row r="157" spans="2:3" x14ac:dyDescent="0.3">
      <c r="B157" s="2"/>
      <c r="C157" s="2"/>
    </row>
    <row r="158" spans="2:3" x14ac:dyDescent="0.3">
      <c r="B158" s="2"/>
      <c r="C158" s="2"/>
    </row>
    <row r="159" spans="2:3" x14ac:dyDescent="0.3">
      <c r="B159" s="2"/>
      <c r="C159" s="2"/>
    </row>
    <row r="160" spans="2:3" x14ac:dyDescent="0.3">
      <c r="B160" s="2"/>
      <c r="C160" s="2"/>
    </row>
  </sheetData>
  <mergeCells count="17">
    <mergeCell ref="B2:C2"/>
    <mergeCell ref="B3:C3"/>
    <mergeCell ref="B5:C5"/>
    <mergeCell ref="B6:C6"/>
    <mergeCell ref="B13:C13"/>
    <mergeCell ref="B14:C14"/>
    <mergeCell ref="B15:C15"/>
    <mergeCell ref="B16:C16"/>
    <mergeCell ref="B18:C18"/>
    <mergeCell ref="B19:C19"/>
    <mergeCell ref="B25:C25"/>
    <mergeCell ref="B26:C26"/>
    <mergeCell ref="B20:C20"/>
    <mergeCell ref="B21:C21"/>
    <mergeCell ref="B22:C22"/>
    <mergeCell ref="B23:C23"/>
    <mergeCell ref="B24:C24"/>
  </mergeCells>
  <phoneticPr fontId="12"/>
  <pageMargins left="0.25" right="0.25" top="0.4" bottom="0.4" header="0.2" footer="0.2"/>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F3296"/>
    <pageSetUpPr fitToPage="1"/>
  </sheetPr>
  <dimension ref="B1:D160"/>
  <sheetViews>
    <sheetView showGridLines="0" zoomScale="90" workbookViewId="0">
      <pane ySplit="3" topLeftCell="A4" activePane="bottomLeft" state="frozen"/>
      <selection pane="bottomLeft"/>
    </sheetView>
  </sheetViews>
  <sheetFormatPr defaultRowHeight="14" x14ac:dyDescent="0.3"/>
  <cols>
    <col min="1" max="1" width="2.6640625" customWidth="1"/>
    <col min="2" max="2" width="23.33203125" customWidth="1"/>
    <col min="3" max="3" width="47.75" customWidth="1"/>
    <col min="4" max="4" width="42.25" customWidth="1"/>
  </cols>
  <sheetData>
    <row r="1" spans="2:4" x14ac:dyDescent="0.3">
      <c r="B1" s="3"/>
      <c r="C1" s="3"/>
      <c r="D1" s="3"/>
    </row>
    <row r="2" spans="2:4" ht="27" customHeight="1" x14ac:dyDescent="0.3">
      <c r="B2" s="43" t="s">
        <v>75</v>
      </c>
      <c r="C2" s="43"/>
      <c r="D2" s="43"/>
    </row>
    <row r="3" spans="2:4" ht="21" customHeight="1" x14ac:dyDescent="0.3">
      <c r="B3" s="44" t="s">
        <v>76</v>
      </c>
      <c r="C3" s="44"/>
      <c r="D3" s="44"/>
    </row>
    <row r="4" spans="2:4" x14ac:dyDescent="0.3">
      <c r="B4" s="3"/>
      <c r="C4" s="3"/>
      <c r="D4" s="3"/>
    </row>
    <row r="5" spans="2:4" ht="23.25" customHeight="1" x14ac:dyDescent="0.3">
      <c r="B5" s="39" t="s">
        <v>77</v>
      </c>
      <c r="C5" s="40"/>
      <c r="D5" s="41"/>
    </row>
    <row r="6" spans="2:4" ht="24" customHeight="1" x14ac:dyDescent="0.3">
      <c r="B6" s="5" t="s">
        <v>78</v>
      </c>
      <c r="C6" s="6" t="s">
        <v>79</v>
      </c>
      <c r="D6" s="7" t="s">
        <v>80</v>
      </c>
    </row>
    <row r="7" spans="2:4" ht="28.5" customHeight="1" x14ac:dyDescent="0.3">
      <c r="B7" s="8" t="s">
        <v>81</v>
      </c>
      <c r="C7" s="8" t="s">
        <v>82</v>
      </c>
      <c r="D7" s="8" t="s">
        <v>83</v>
      </c>
    </row>
    <row r="8" spans="2:4" ht="37.5" customHeight="1" x14ac:dyDescent="0.3">
      <c r="B8" s="9" t="s">
        <v>84</v>
      </c>
      <c r="C8" s="9" t="s">
        <v>85</v>
      </c>
      <c r="D8" s="9" t="s">
        <v>86</v>
      </c>
    </row>
    <row r="9" spans="2:4" ht="37.5" customHeight="1" x14ac:dyDescent="0.3">
      <c r="B9" s="8" t="s">
        <v>87</v>
      </c>
      <c r="C9" s="8" t="s">
        <v>88</v>
      </c>
      <c r="D9" s="8" t="s">
        <v>89</v>
      </c>
    </row>
    <row r="10" spans="2:4" ht="28.5" customHeight="1" x14ac:dyDescent="0.3">
      <c r="B10" s="9" t="s">
        <v>90</v>
      </c>
      <c r="C10" s="9" t="s">
        <v>91</v>
      </c>
      <c r="D10" s="9" t="s">
        <v>92</v>
      </c>
    </row>
    <row r="11" spans="2:4" ht="28.5" customHeight="1" x14ac:dyDescent="0.3">
      <c r="B11" s="8" t="s">
        <v>93</v>
      </c>
      <c r="C11" s="8" t="s">
        <v>94</v>
      </c>
      <c r="D11" s="8" t="s">
        <v>95</v>
      </c>
    </row>
    <row r="12" spans="2:4" ht="28.5" customHeight="1" x14ac:dyDescent="0.3">
      <c r="B12" s="9" t="s">
        <v>96</v>
      </c>
      <c r="C12" s="9" t="s">
        <v>97</v>
      </c>
      <c r="D12" s="9" t="s">
        <v>98</v>
      </c>
    </row>
    <row r="13" spans="2:4" ht="28.5" customHeight="1" x14ac:dyDescent="0.3">
      <c r="B13" s="8" t="s">
        <v>99</v>
      </c>
      <c r="C13" s="8" t="s">
        <v>100</v>
      </c>
      <c r="D13" s="8" t="s">
        <v>101</v>
      </c>
    </row>
    <row r="14" spans="2:4" ht="28.5" customHeight="1" x14ac:dyDescent="0.3">
      <c r="B14" s="9" t="s">
        <v>102</v>
      </c>
      <c r="C14" s="9" t="s">
        <v>103</v>
      </c>
      <c r="D14" s="9" t="s">
        <v>104</v>
      </c>
    </row>
    <row r="15" spans="2:4" ht="28.5" customHeight="1" x14ac:dyDescent="0.3">
      <c r="B15" s="8" t="s">
        <v>105</v>
      </c>
      <c r="C15" s="8" t="s">
        <v>106</v>
      </c>
      <c r="D15" s="8" t="s">
        <v>107</v>
      </c>
    </row>
    <row r="16" spans="2:4" ht="28.5" customHeight="1" x14ac:dyDescent="0.3">
      <c r="B16" s="9" t="s">
        <v>108</v>
      </c>
      <c r="C16" s="9" t="s">
        <v>109</v>
      </c>
      <c r="D16" s="9" t="s">
        <v>110</v>
      </c>
    </row>
    <row r="17" spans="2:4" ht="28.5" customHeight="1" x14ac:dyDescent="0.3">
      <c r="B17" s="8" t="s">
        <v>111</v>
      </c>
      <c r="C17" s="8" t="s">
        <v>112</v>
      </c>
      <c r="D17" s="8" t="s">
        <v>113</v>
      </c>
    </row>
    <row r="18" spans="2:4" x14ac:dyDescent="0.3">
      <c r="B18" s="3"/>
      <c r="C18" s="3"/>
      <c r="D18" s="3"/>
    </row>
    <row r="19" spans="2:4" ht="24" customHeight="1" x14ac:dyDescent="0.3">
      <c r="B19" s="38" t="s">
        <v>114</v>
      </c>
      <c r="C19" s="38"/>
      <c r="D19" s="38"/>
    </row>
    <row r="20" spans="2:4" ht="23.25" customHeight="1" x14ac:dyDescent="0.3">
      <c r="B20" s="39" t="s">
        <v>115</v>
      </c>
      <c r="C20" s="40"/>
      <c r="D20" s="41"/>
    </row>
    <row r="21" spans="2:4" ht="24" customHeight="1" x14ac:dyDescent="0.3">
      <c r="B21" s="38" t="s">
        <v>116</v>
      </c>
      <c r="C21" s="38"/>
      <c r="D21" s="38"/>
    </row>
    <row r="22" spans="2:4" ht="37.5" customHeight="1" x14ac:dyDescent="0.3">
      <c r="B22" s="38" t="s">
        <v>117</v>
      </c>
      <c r="C22" s="38"/>
      <c r="D22" s="38"/>
    </row>
    <row r="23" spans="2:4" ht="24" customHeight="1" x14ac:dyDescent="0.3">
      <c r="B23" s="38" t="s">
        <v>118</v>
      </c>
      <c r="C23" s="38"/>
      <c r="D23" s="38"/>
    </row>
    <row r="24" spans="2:4" x14ac:dyDescent="0.3">
      <c r="B24" s="3"/>
      <c r="C24" s="3"/>
      <c r="D24" s="3"/>
    </row>
    <row r="25" spans="2:4" ht="23.25" customHeight="1" x14ac:dyDescent="0.3">
      <c r="B25" s="39" t="s">
        <v>119</v>
      </c>
      <c r="C25" s="40"/>
      <c r="D25" s="41"/>
    </row>
    <row r="26" spans="2:4" ht="37.5" customHeight="1" x14ac:dyDescent="0.3">
      <c r="B26" s="38" t="s">
        <v>120</v>
      </c>
      <c r="C26" s="38"/>
      <c r="D26" s="38"/>
    </row>
    <row r="27" spans="2:4" ht="24" customHeight="1" x14ac:dyDescent="0.3">
      <c r="B27" s="5" t="s">
        <v>121</v>
      </c>
      <c r="C27" s="6" t="s">
        <v>122</v>
      </c>
      <c r="D27" s="7" t="s">
        <v>123</v>
      </c>
    </row>
    <row r="28" spans="2:4" ht="28.5" customHeight="1" x14ac:dyDescent="0.3">
      <c r="B28" s="8" t="s">
        <v>124</v>
      </c>
      <c r="C28" s="8" t="s">
        <v>125</v>
      </c>
      <c r="D28" s="8" t="s">
        <v>126</v>
      </c>
    </row>
    <row r="29" spans="2:4" ht="28.5" customHeight="1" x14ac:dyDescent="0.3">
      <c r="B29" s="9" t="s">
        <v>99</v>
      </c>
      <c r="C29" s="9" t="s">
        <v>127</v>
      </c>
      <c r="D29" s="9" t="s">
        <v>128</v>
      </c>
    </row>
    <row r="30" spans="2:4" ht="28.5" customHeight="1" x14ac:dyDescent="0.3">
      <c r="B30" s="8" t="s">
        <v>129</v>
      </c>
      <c r="C30" s="8" t="s">
        <v>130</v>
      </c>
      <c r="D30" s="8" t="s">
        <v>131</v>
      </c>
    </row>
    <row r="31" spans="2:4" ht="28.5" customHeight="1" x14ac:dyDescent="0.3">
      <c r="B31" s="9" t="s">
        <v>132</v>
      </c>
      <c r="C31" s="9" t="s">
        <v>133</v>
      </c>
      <c r="D31" s="9" t="s">
        <v>134</v>
      </c>
    </row>
    <row r="32" spans="2:4" ht="28.5" customHeight="1" x14ac:dyDescent="0.3">
      <c r="B32" s="8" t="s">
        <v>135</v>
      </c>
      <c r="C32" s="8" t="s">
        <v>136</v>
      </c>
      <c r="D32" s="8" t="s">
        <v>137</v>
      </c>
    </row>
    <row r="33" spans="2:4" ht="28.5" customHeight="1" x14ac:dyDescent="0.3">
      <c r="B33" s="9" t="s">
        <v>138</v>
      </c>
      <c r="C33" s="9" t="s">
        <v>139</v>
      </c>
      <c r="D33" s="9" t="s">
        <v>140</v>
      </c>
    </row>
    <row r="34" spans="2:4" ht="28.5" customHeight="1" x14ac:dyDescent="0.3">
      <c r="B34" s="8" t="s">
        <v>141</v>
      </c>
      <c r="C34" s="8" t="s">
        <v>142</v>
      </c>
      <c r="D34" s="8" t="s">
        <v>143</v>
      </c>
    </row>
    <row r="35" spans="2:4" x14ac:dyDescent="0.3">
      <c r="B35" s="3"/>
      <c r="C35" s="3"/>
      <c r="D35" s="3"/>
    </row>
    <row r="36" spans="2:4" ht="24" customHeight="1" x14ac:dyDescent="0.3">
      <c r="B36" s="38" t="s">
        <v>144</v>
      </c>
      <c r="C36" s="38"/>
      <c r="D36" s="38"/>
    </row>
    <row r="37" spans="2:4" x14ac:dyDescent="0.3">
      <c r="B37" s="3"/>
      <c r="C37" s="3"/>
      <c r="D37" s="3"/>
    </row>
    <row r="38" spans="2:4" x14ac:dyDescent="0.3">
      <c r="B38" s="3"/>
      <c r="C38" s="3"/>
      <c r="D38" s="3"/>
    </row>
    <row r="39" spans="2:4" x14ac:dyDescent="0.3">
      <c r="B39" s="2"/>
      <c r="C39" s="2"/>
      <c r="D39" s="2"/>
    </row>
    <row r="40" spans="2:4" x14ac:dyDescent="0.3">
      <c r="B40" s="2"/>
      <c r="C40" s="2"/>
      <c r="D40" s="2"/>
    </row>
    <row r="41" spans="2:4" x14ac:dyDescent="0.3">
      <c r="B41" s="2"/>
      <c r="C41" s="2"/>
      <c r="D41" s="2"/>
    </row>
    <row r="42" spans="2:4" x14ac:dyDescent="0.3">
      <c r="B42" s="2"/>
      <c r="C42" s="2"/>
      <c r="D42" s="2"/>
    </row>
    <row r="43" spans="2:4" x14ac:dyDescent="0.3">
      <c r="B43" s="2"/>
      <c r="C43" s="2"/>
      <c r="D43" s="2"/>
    </row>
    <row r="44" spans="2:4" x14ac:dyDescent="0.3">
      <c r="B44" s="2"/>
      <c r="C44" s="2"/>
      <c r="D44" s="2"/>
    </row>
    <row r="45" spans="2:4" x14ac:dyDescent="0.3">
      <c r="B45" s="2"/>
      <c r="C45" s="2"/>
      <c r="D45" s="2"/>
    </row>
    <row r="46" spans="2:4" x14ac:dyDescent="0.3">
      <c r="B46" s="2"/>
      <c r="C46" s="2"/>
      <c r="D46" s="2"/>
    </row>
    <row r="47" spans="2:4" x14ac:dyDescent="0.3">
      <c r="B47" s="2"/>
      <c r="C47" s="2"/>
      <c r="D47" s="2"/>
    </row>
    <row r="48" spans="2:4" x14ac:dyDescent="0.3">
      <c r="B48" s="2"/>
      <c r="C48" s="2"/>
      <c r="D48" s="2"/>
    </row>
    <row r="49" spans="2:4" x14ac:dyDescent="0.3">
      <c r="B49" s="2"/>
      <c r="C49" s="2"/>
      <c r="D49" s="2"/>
    </row>
    <row r="50" spans="2:4" x14ac:dyDescent="0.3">
      <c r="B50" s="2"/>
      <c r="C50" s="2"/>
      <c r="D50" s="2"/>
    </row>
    <row r="51" spans="2:4" x14ac:dyDescent="0.3">
      <c r="B51" s="2"/>
      <c r="C51" s="2"/>
      <c r="D51" s="2"/>
    </row>
    <row r="52" spans="2:4" x14ac:dyDescent="0.3">
      <c r="B52" s="2"/>
      <c r="C52" s="2"/>
      <c r="D52" s="2"/>
    </row>
    <row r="53" spans="2:4" x14ac:dyDescent="0.3">
      <c r="B53" s="2"/>
      <c r="C53" s="2"/>
      <c r="D53" s="2"/>
    </row>
    <row r="54" spans="2:4" x14ac:dyDescent="0.3">
      <c r="B54" s="2"/>
      <c r="C54" s="2"/>
      <c r="D54" s="2"/>
    </row>
    <row r="55" spans="2:4" x14ac:dyDescent="0.3">
      <c r="B55" s="2"/>
      <c r="C55" s="2"/>
      <c r="D55" s="2"/>
    </row>
    <row r="56" spans="2:4" x14ac:dyDescent="0.3">
      <c r="B56" s="2"/>
      <c r="C56" s="2"/>
      <c r="D56" s="2"/>
    </row>
    <row r="57" spans="2:4" x14ac:dyDescent="0.3">
      <c r="B57" s="2"/>
      <c r="C57" s="2"/>
      <c r="D57" s="2"/>
    </row>
    <row r="58" spans="2:4" x14ac:dyDescent="0.3">
      <c r="B58" s="2"/>
      <c r="C58" s="2"/>
      <c r="D58" s="2"/>
    </row>
    <row r="59" spans="2:4" x14ac:dyDescent="0.3">
      <c r="B59" s="2"/>
      <c r="C59" s="2"/>
      <c r="D59" s="2"/>
    </row>
    <row r="60" spans="2:4" x14ac:dyDescent="0.3">
      <c r="B60" s="2"/>
      <c r="C60" s="2"/>
      <c r="D60" s="2"/>
    </row>
    <row r="61" spans="2:4" x14ac:dyDescent="0.3">
      <c r="B61" s="2"/>
      <c r="C61" s="2"/>
      <c r="D61" s="2"/>
    </row>
    <row r="62" spans="2:4" x14ac:dyDescent="0.3">
      <c r="B62" s="2"/>
      <c r="C62" s="2"/>
      <c r="D62" s="2"/>
    </row>
    <row r="63" spans="2:4" x14ac:dyDescent="0.3">
      <c r="B63" s="2"/>
      <c r="C63" s="2"/>
      <c r="D63" s="2"/>
    </row>
    <row r="64" spans="2:4" x14ac:dyDescent="0.3">
      <c r="B64" s="2"/>
      <c r="C64" s="2"/>
      <c r="D64" s="2"/>
    </row>
    <row r="65" spans="2:4" x14ac:dyDescent="0.3">
      <c r="B65" s="2"/>
      <c r="C65" s="2"/>
      <c r="D65" s="2"/>
    </row>
    <row r="66" spans="2:4" x14ac:dyDescent="0.3">
      <c r="B66" s="2"/>
      <c r="C66" s="2"/>
      <c r="D66" s="2"/>
    </row>
    <row r="67" spans="2:4" x14ac:dyDescent="0.3">
      <c r="B67" s="2"/>
      <c r="C67" s="2"/>
      <c r="D67" s="2"/>
    </row>
    <row r="68" spans="2:4" x14ac:dyDescent="0.3">
      <c r="B68" s="2"/>
      <c r="C68" s="2"/>
      <c r="D68" s="2"/>
    </row>
    <row r="69" spans="2:4" x14ac:dyDescent="0.3">
      <c r="B69" s="2"/>
      <c r="C69" s="2"/>
      <c r="D69" s="2"/>
    </row>
    <row r="70" spans="2:4" x14ac:dyDescent="0.3">
      <c r="B70" s="2"/>
      <c r="C70" s="2"/>
      <c r="D70" s="2"/>
    </row>
    <row r="71" spans="2:4" x14ac:dyDescent="0.3">
      <c r="B71" s="2"/>
      <c r="C71" s="2"/>
      <c r="D71" s="2"/>
    </row>
    <row r="72" spans="2:4" x14ac:dyDescent="0.3">
      <c r="B72" s="2"/>
      <c r="C72" s="2"/>
      <c r="D72" s="2"/>
    </row>
    <row r="73" spans="2:4" x14ac:dyDescent="0.3">
      <c r="B73" s="2"/>
      <c r="C73" s="2"/>
      <c r="D73" s="2"/>
    </row>
    <row r="74" spans="2:4" x14ac:dyDescent="0.3">
      <c r="B74" s="2"/>
      <c r="C74" s="2"/>
      <c r="D74" s="2"/>
    </row>
    <row r="75" spans="2:4" x14ac:dyDescent="0.3">
      <c r="B75" s="2"/>
      <c r="C75" s="2"/>
      <c r="D75" s="2"/>
    </row>
    <row r="76" spans="2:4" x14ac:dyDescent="0.3">
      <c r="B76" s="2"/>
      <c r="C76" s="2"/>
      <c r="D76" s="2"/>
    </row>
    <row r="77" spans="2:4" x14ac:dyDescent="0.3">
      <c r="B77" s="2"/>
      <c r="C77" s="2"/>
      <c r="D77" s="2"/>
    </row>
    <row r="78" spans="2:4" x14ac:dyDescent="0.3">
      <c r="B78" s="2"/>
      <c r="C78" s="2"/>
      <c r="D78" s="2"/>
    </row>
    <row r="79" spans="2:4" x14ac:dyDescent="0.3">
      <c r="B79" s="2"/>
      <c r="C79" s="2"/>
      <c r="D79" s="2"/>
    </row>
    <row r="80" spans="2:4" x14ac:dyDescent="0.3">
      <c r="B80" s="2"/>
      <c r="C80" s="2"/>
      <c r="D80" s="2"/>
    </row>
    <row r="81" spans="2:4" x14ac:dyDescent="0.3">
      <c r="B81" s="2"/>
      <c r="C81" s="2"/>
      <c r="D81" s="2"/>
    </row>
    <row r="82" spans="2:4" x14ac:dyDescent="0.3">
      <c r="B82" s="2"/>
      <c r="C82" s="2"/>
      <c r="D82" s="2"/>
    </row>
    <row r="83" spans="2:4" x14ac:dyDescent="0.3">
      <c r="B83" s="2"/>
      <c r="C83" s="2"/>
      <c r="D83" s="2"/>
    </row>
    <row r="84" spans="2:4" x14ac:dyDescent="0.3">
      <c r="B84" s="2"/>
      <c r="C84" s="2"/>
      <c r="D84" s="2"/>
    </row>
    <row r="85" spans="2:4" x14ac:dyDescent="0.3">
      <c r="B85" s="2"/>
      <c r="C85" s="2"/>
      <c r="D85" s="2"/>
    </row>
    <row r="86" spans="2:4" x14ac:dyDescent="0.3">
      <c r="B86" s="2"/>
      <c r="C86" s="2"/>
      <c r="D86" s="2"/>
    </row>
    <row r="87" spans="2:4" x14ac:dyDescent="0.3">
      <c r="B87" s="2"/>
      <c r="C87" s="2"/>
      <c r="D87" s="2"/>
    </row>
    <row r="88" spans="2:4" x14ac:dyDescent="0.3">
      <c r="B88" s="2"/>
      <c r="C88" s="2"/>
      <c r="D88" s="2"/>
    </row>
    <row r="89" spans="2:4" x14ac:dyDescent="0.3">
      <c r="B89" s="2"/>
      <c r="C89" s="2"/>
      <c r="D89" s="2"/>
    </row>
    <row r="90" spans="2:4" x14ac:dyDescent="0.3">
      <c r="B90" s="2"/>
      <c r="C90" s="2"/>
      <c r="D90" s="2"/>
    </row>
    <row r="91" spans="2:4" x14ac:dyDescent="0.3">
      <c r="B91" s="2"/>
      <c r="C91" s="2"/>
      <c r="D91" s="2"/>
    </row>
    <row r="92" spans="2:4" x14ac:dyDescent="0.3">
      <c r="B92" s="2"/>
      <c r="C92" s="2"/>
      <c r="D92" s="2"/>
    </row>
    <row r="93" spans="2:4" x14ac:dyDescent="0.3">
      <c r="B93" s="2"/>
      <c r="C93" s="2"/>
      <c r="D93" s="2"/>
    </row>
    <row r="94" spans="2:4" x14ac:dyDescent="0.3">
      <c r="B94" s="2"/>
      <c r="C94" s="2"/>
      <c r="D94" s="2"/>
    </row>
    <row r="95" spans="2:4" x14ac:dyDescent="0.3">
      <c r="B95" s="2"/>
      <c r="C95" s="2"/>
      <c r="D95" s="2"/>
    </row>
    <row r="96" spans="2:4" x14ac:dyDescent="0.3">
      <c r="B96" s="2"/>
      <c r="C96" s="2"/>
      <c r="D96" s="2"/>
    </row>
    <row r="97" spans="2:4" x14ac:dyDescent="0.3">
      <c r="B97" s="2"/>
      <c r="C97" s="2"/>
      <c r="D97" s="2"/>
    </row>
    <row r="98" spans="2:4" x14ac:dyDescent="0.3">
      <c r="B98" s="2"/>
      <c r="C98" s="2"/>
      <c r="D98" s="2"/>
    </row>
    <row r="99" spans="2:4" x14ac:dyDescent="0.3">
      <c r="B99" s="2"/>
      <c r="C99" s="2"/>
      <c r="D99" s="2"/>
    </row>
    <row r="100" spans="2:4" x14ac:dyDescent="0.3">
      <c r="B100" s="2"/>
      <c r="C100" s="2"/>
      <c r="D100" s="2"/>
    </row>
    <row r="101" spans="2:4" x14ac:dyDescent="0.3">
      <c r="B101" s="2"/>
      <c r="C101" s="2"/>
      <c r="D101" s="2"/>
    </row>
    <row r="102" spans="2:4" x14ac:dyDescent="0.3">
      <c r="B102" s="2"/>
      <c r="C102" s="2"/>
      <c r="D102" s="2"/>
    </row>
    <row r="103" spans="2:4" x14ac:dyDescent="0.3">
      <c r="B103" s="2"/>
      <c r="C103" s="2"/>
      <c r="D103" s="2"/>
    </row>
    <row r="104" spans="2:4" x14ac:dyDescent="0.3">
      <c r="B104" s="2"/>
      <c r="C104" s="2"/>
      <c r="D104" s="2"/>
    </row>
    <row r="105" spans="2:4" x14ac:dyDescent="0.3">
      <c r="B105" s="2"/>
      <c r="C105" s="2"/>
      <c r="D105" s="2"/>
    </row>
    <row r="106" spans="2:4" x14ac:dyDescent="0.3">
      <c r="B106" s="2"/>
      <c r="C106" s="2"/>
      <c r="D106" s="2"/>
    </row>
    <row r="107" spans="2:4" x14ac:dyDescent="0.3">
      <c r="B107" s="2"/>
      <c r="C107" s="2"/>
      <c r="D107" s="2"/>
    </row>
    <row r="108" spans="2:4" x14ac:dyDescent="0.3">
      <c r="B108" s="2"/>
      <c r="C108" s="2"/>
      <c r="D108" s="2"/>
    </row>
    <row r="109" spans="2:4" x14ac:dyDescent="0.3">
      <c r="B109" s="2"/>
      <c r="C109" s="2"/>
      <c r="D109" s="2"/>
    </row>
    <row r="110" spans="2:4" x14ac:dyDescent="0.3">
      <c r="B110" s="2"/>
      <c r="C110" s="2"/>
      <c r="D110" s="2"/>
    </row>
    <row r="111" spans="2:4" x14ac:dyDescent="0.3">
      <c r="B111" s="2"/>
      <c r="C111" s="2"/>
      <c r="D111" s="2"/>
    </row>
    <row r="112" spans="2:4" x14ac:dyDescent="0.3">
      <c r="B112" s="2"/>
      <c r="C112" s="2"/>
      <c r="D112" s="2"/>
    </row>
    <row r="113" spans="2:4" x14ac:dyDescent="0.3">
      <c r="B113" s="2"/>
      <c r="C113" s="2"/>
      <c r="D113" s="2"/>
    </row>
    <row r="114" spans="2:4" x14ac:dyDescent="0.3">
      <c r="B114" s="2"/>
      <c r="C114" s="2"/>
      <c r="D114" s="2"/>
    </row>
    <row r="115" spans="2:4" x14ac:dyDescent="0.3">
      <c r="B115" s="2"/>
      <c r="C115" s="2"/>
      <c r="D115" s="2"/>
    </row>
    <row r="116" spans="2:4" x14ac:dyDescent="0.3">
      <c r="B116" s="2"/>
      <c r="C116" s="2"/>
      <c r="D116" s="2"/>
    </row>
    <row r="117" spans="2:4" x14ac:dyDescent="0.3">
      <c r="B117" s="2"/>
      <c r="C117" s="2"/>
      <c r="D117" s="2"/>
    </row>
    <row r="118" spans="2:4" x14ac:dyDescent="0.3">
      <c r="B118" s="2"/>
      <c r="C118" s="2"/>
      <c r="D118" s="2"/>
    </row>
    <row r="119" spans="2:4" x14ac:dyDescent="0.3">
      <c r="B119" s="2"/>
      <c r="C119" s="2"/>
      <c r="D119" s="2"/>
    </row>
    <row r="120" spans="2:4" x14ac:dyDescent="0.3">
      <c r="B120" s="2"/>
      <c r="C120" s="2"/>
      <c r="D120" s="2"/>
    </row>
    <row r="121" spans="2:4" x14ac:dyDescent="0.3">
      <c r="B121" s="2"/>
      <c r="C121" s="2"/>
      <c r="D121" s="2"/>
    </row>
    <row r="122" spans="2:4" x14ac:dyDescent="0.3">
      <c r="B122" s="2"/>
      <c r="C122" s="2"/>
      <c r="D122" s="2"/>
    </row>
    <row r="123" spans="2:4" x14ac:dyDescent="0.3">
      <c r="B123" s="2"/>
      <c r="C123" s="2"/>
      <c r="D123" s="2"/>
    </row>
    <row r="124" spans="2:4" x14ac:dyDescent="0.3">
      <c r="B124" s="2"/>
      <c r="C124" s="2"/>
      <c r="D124" s="2"/>
    </row>
    <row r="125" spans="2:4" x14ac:dyDescent="0.3">
      <c r="B125" s="2"/>
      <c r="C125" s="2"/>
      <c r="D125" s="2"/>
    </row>
    <row r="126" spans="2:4" x14ac:dyDescent="0.3">
      <c r="B126" s="2"/>
      <c r="C126" s="2"/>
      <c r="D126" s="2"/>
    </row>
    <row r="127" spans="2:4" x14ac:dyDescent="0.3">
      <c r="B127" s="2"/>
      <c r="C127" s="2"/>
      <c r="D127" s="2"/>
    </row>
    <row r="128" spans="2:4" x14ac:dyDescent="0.3">
      <c r="B128" s="2"/>
      <c r="C128" s="2"/>
      <c r="D128" s="2"/>
    </row>
    <row r="129" spans="2:4" x14ac:dyDescent="0.3">
      <c r="B129" s="2"/>
      <c r="C129" s="2"/>
      <c r="D129" s="2"/>
    </row>
    <row r="130" spans="2:4" x14ac:dyDescent="0.3">
      <c r="B130" s="2"/>
      <c r="C130" s="2"/>
      <c r="D130" s="2"/>
    </row>
    <row r="131" spans="2:4" x14ac:dyDescent="0.3">
      <c r="B131" s="2"/>
      <c r="C131" s="2"/>
      <c r="D131" s="2"/>
    </row>
    <row r="132" spans="2:4" x14ac:dyDescent="0.3">
      <c r="B132" s="2"/>
      <c r="C132" s="2"/>
      <c r="D132" s="2"/>
    </row>
    <row r="133" spans="2:4" x14ac:dyDescent="0.3">
      <c r="B133" s="2"/>
      <c r="C133" s="2"/>
      <c r="D133" s="2"/>
    </row>
    <row r="134" spans="2:4" x14ac:dyDescent="0.3">
      <c r="B134" s="2"/>
      <c r="C134" s="2"/>
      <c r="D134" s="2"/>
    </row>
    <row r="135" spans="2:4" x14ac:dyDescent="0.3">
      <c r="B135" s="2"/>
      <c r="C135" s="2"/>
      <c r="D135" s="2"/>
    </row>
    <row r="136" spans="2:4" x14ac:dyDescent="0.3">
      <c r="B136" s="2"/>
      <c r="C136" s="2"/>
      <c r="D136" s="2"/>
    </row>
    <row r="137" spans="2:4" x14ac:dyDescent="0.3">
      <c r="B137" s="2"/>
      <c r="C137" s="2"/>
      <c r="D137" s="2"/>
    </row>
    <row r="138" spans="2:4" x14ac:dyDescent="0.3">
      <c r="B138" s="2"/>
      <c r="C138" s="2"/>
      <c r="D138" s="2"/>
    </row>
    <row r="139" spans="2:4" x14ac:dyDescent="0.3">
      <c r="B139" s="2"/>
      <c r="C139" s="2"/>
      <c r="D139" s="2"/>
    </row>
    <row r="140" spans="2:4" x14ac:dyDescent="0.3">
      <c r="B140" s="2"/>
      <c r="C140" s="2"/>
      <c r="D140" s="2"/>
    </row>
    <row r="141" spans="2:4" x14ac:dyDescent="0.3">
      <c r="B141" s="2"/>
      <c r="C141" s="2"/>
      <c r="D141" s="2"/>
    </row>
    <row r="142" spans="2:4" x14ac:dyDescent="0.3">
      <c r="B142" s="2"/>
      <c r="C142" s="2"/>
      <c r="D142" s="2"/>
    </row>
    <row r="143" spans="2:4" x14ac:dyDescent="0.3">
      <c r="B143" s="2"/>
      <c r="C143" s="2"/>
      <c r="D143" s="2"/>
    </row>
    <row r="144" spans="2:4" x14ac:dyDescent="0.3">
      <c r="B144" s="2"/>
      <c r="C144" s="2"/>
      <c r="D144" s="2"/>
    </row>
    <row r="145" spans="2:4" x14ac:dyDescent="0.3">
      <c r="B145" s="2"/>
      <c r="C145" s="2"/>
      <c r="D145" s="2"/>
    </row>
    <row r="146" spans="2:4" x14ac:dyDescent="0.3">
      <c r="B146" s="2"/>
      <c r="C146" s="2"/>
      <c r="D146" s="2"/>
    </row>
    <row r="147" spans="2:4" x14ac:dyDescent="0.3">
      <c r="B147" s="2"/>
      <c r="C147" s="2"/>
      <c r="D147" s="2"/>
    </row>
    <row r="148" spans="2:4" x14ac:dyDescent="0.3">
      <c r="B148" s="2"/>
      <c r="C148" s="2"/>
      <c r="D148" s="2"/>
    </row>
    <row r="149" spans="2:4" x14ac:dyDescent="0.3">
      <c r="B149" s="2"/>
      <c r="C149" s="2"/>
      <c r="D149" s="2"/>
    </row>
    <row r="150" spans="2:4" x14ac:dyDescent="0.3">
      <c r="B150" s="2"/>
      <c r="C150" s="2"/>
      <c r="D150" s="2"/>
    </row>
    <row r="151" spans="2:4" x14ac:dyDescent="0.3">
      <c r="B151" s="2"/>
      <c r="C151" s="2"/>
      <c r="D151" s="2"/>
    </row>
    <row r="152" spans="2:4" x14ac:dyDescent="0.3">
      <c r="B152" s="2"/>
      <c r="C152" s="2"/>
      <c r="D152" s="2"/>
    </row>
    <row r="153" spans="2:4" x14ac:dyDescent="0.3">
      <c r="B153" s="2"/>
      <c r="C153" s="2"/>
      <c r="D153" s="2"/>
    </row>
    <row r="154" spans="2:4" x14ac:dyDescent="0.3">
      <c r="B154" s="2"/>
      <c r="C154" s="2"/>
      <c r="D154" s="2"/>
    </row>
    <row r="155" spans="2:4" x14ac:dyDescent="0.3">
      <c r="B155" s="2"/>
      <c r="C155" s="2"/>
      <c r="D155" s="2"/>
    </row>
    <row r="156" spans="2:4" x14ac:dyDescent="0.3">
      <c r="B156" s="2"/>
      <c r="C156" s="2"/>
      <c r="D156" s="2"/>
    </row>
    <row r="157" spans="2:4" x14ac:dyDescent="0.3">
      <c r="B157" s="2"/>
      <c r="C157" s="2"/>
      <c r="D157" s="2"/>
    </row>
    <row r="158" spans="2:4" x14ac:dyDescent="0.3">
      <c r="B158" s="2"/>
      <c r="C158" s="2"/>
      <c r="D158" s="2"/>
    </row>
    <row r="159" spans="2:4" x14ac:dyDescent="0.3">
      <c r="B159" s="2"/>
      <c r="C159" s="2"/>
      <c r="D159" s="2"/>
    </row>
    <row r="160" spans="2:4" x14ac:dyDescent="0.3">
      <c r="B160" s="2"/>
      <c r="C160" s="2"/>
      <c r="D160" s="2"/>
    </row>
  </sheetData>
  <mergeCells count="11">
    <mergeCell ref="B2:D2"/>
    <mergeCell ref="B3:D3"/>
    <mergeCell ref="B5:D5"/>
    <mergeCell ref="B19:D19"/>
    <mergeCell ref="B20:D20"/>
    <mergeCell ref="B36:D36"/>
    <mergeCell ref="B21:D21"/>
    <mergeCell ref="B22:D22"/>
    <mergeCell ref="B23:D23"/>
    <mergeCell ref="B25:D25"/>
    <mergeCell ref="B26:D26"/>
  </mergeCells>
  <phoneticPr fontId="12"/>
  <pageMargins left="0.25" right="0.25" top="0.4" bottom="0.4" header="0.2" footer="0.2"/>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F3296"/>
    <pageSetUpPr fitToPage="1"/>
  </sheetPr>
  <dimension ref="B1:C160"/>
  <sheetViews>
    <sheetView showGridLines="0" zoomScale="90" workbookViewId="0">
      <pane ySplit="3" topLeftCell="A4" activePane="bottomLeft" state="frozen"/>
      <selection pane="bottomLeft"/>
    </sheetView>
  </sheetViews>
  <sheetFormatPr defaultRowHeight="14" x14ac:dyDescent="0.3"/>
  <cols>
    <col min="1" max="1" width="2.6640625" customWidth="1"/>
    <col min="2" max="2" width="26.6640625" customWidth="1"/>
    <col min="3" max="3" width="86.6640625" customWidth="1"/>
  </cols>
  <sheetData>
    <row r="1" spans="2:3" x14ac:dyDescent="0.3">
      <c r="B1" s="3"/>
      <c r="C1" s="3"/>
    </row>
    <row r="2" spans="2:3" ht="27" customHeight="1" x14ac:dyDescent="0.3">
      <c r="B2" s="43" t="s">
        <v>145</v>
      </c>
      <c r="C2" s="43"/>
    </row>
    <row r="3" spans="2:3" ht="21" customHeight="1" x14ac:dyDescent="0.3">
      <c r="B3" s="44" t="s">
        <v>146</v>
      </c>
      <c r="C3" s="44"/>
    </row>
    <row r="4" spans="2:3" x14ac:dyDescent="0.3">
      <c r="B4" s="3"/>
      <c r="C4" s="3"/>
    </row>
    <row r="5" spans="2:3" ht="23.25" customHeight="1" x14ac:dyDescent="0.3">
      <c r="B5" s="39" t="s">
        <v>147</v>
      </c>
      <c r="C5" s="41"/>
    </row>
    <row r="6" spans="2:3" ht="37.5" customHeight="1" x14ac:dyDescent="0.3">
      <c r="B6" s="38" t="s">
        <v>148</v>
      </c>
      <c r="C6" s="38"/>
    </row>
    <row r="7" spans="2:3" ht="37.5" customHeight="1" x14ac:dyDescent="0.3">
      <c r="B7" s="38" t="s">
        <v>149</v>
      </c>
      <c r="C7" s="38"/>
    </row>
    <row r="8" spans="2:3" ht="37.5" customHeight="1" x14ac:dyDescent="0.3">
      <c r="B8" s="38" t="s">
        <v>150</v>
      </c>
      <c r="C8" s="38"/>
    </row>
    <row r="9" spans="2:3" ht="24" customHeight="1" x14ac:dyDescent="0.3">
      <c r="B9" s="38" t="s">
        <v>151</v>
      </c>
      <c r="C9" s="38"/>
    </row>
    <row r="10" spans="2:3" x14ac:dyDescent="0.3">
      <c r="B10" s="3"/>
      <c r="C10" s="3"/>
    </row>
    <row r="11" spans="2:3" ht="23.25" customHeight="1" x14ac:dyDescent="0.3">
      <c r="B11" s="39" t="s">
        <v>152</v>
      </c>
      <c r="C11" s="41"/>
    </row>
    <row r="12" spans="2:3" ht="24" customHeight="1" x14ac:dyDescent="0.3">
      <c r="B12" s="38" t="s">
        <v>153</v>
      </c>
      <c r="C12" s="38"/>
    </row>
    <row r="13" spans="2:3" ht="37.5" customHeight="1" x14ac:dyDescent="0.3">
      <c r="B13" s="38" t="s">
        <v>154</v>
      </c>
      <c r="C13" s="38"/>
    </row>
    <row r="14" spans="2:3" ht="24" customHeight="1" x14ac:dyDescent="0.3">
      <c r="B14" s="38" t="s">
        <v>155</v>
      </c>
      <c r="C14" s="38"/>
    </row>
    <row r="15" spans="2:3" x14ac:dyDescent="0.3">
      <c r="B15" s="3"/>
      <c r="C15" s="3"/>
    </row>
    <row r="16" spans="2:3" x14ac:dyDescent="0.3">
      <c r="B16" s="3"/>
      <c r="C16" s="3"/>
    </row>
    <row r="17" spans="2:3" x14ac:dyDescent="0.3">
      <c r="B17" s="2"/>
      <c r="C17" s="2"/>
    </row>
    <row r="18" spans="2:3" x14ac:dyDescent="0.3">
      <c r="B18" s="2"/>
      <c r="C18" s="2"/>
    </row>
    <row r="19" spans="2:3" x14ac:dyDescent="0.3">
      <c r="B19" s="2"/>
      <c r="C19" s="2"/>
    </row>
    <row r="20" spans="2:3" x14ac:dyDescent="0.3">
      <c r="B20" s="2"/>
      <c r="C20" s="2"/>
    </row>
    <row r="21" spans="2:3" x14ac:dyDescent="0.3">
      <c r="B21" s="2"/>
      <c r="C21" s="2"/>
    </row>
    <row r="22" spans="2:3" x14ac:dyDescent="0.3">
      <c r="B22" s="2"/>
      <c r="C22" s="2"/>
    </row>
    <row r="23" spans="2:3" x14ac:dyDescent="0.3">
      <c r="B23" s="2"/>
      <c r="C23" s="2"/>
    </row>
    <row r="24" spans="2:3" x14ac:dyDescent="0.3">
      <c r="B24" s="2"/>
      <c r="C24" s="2"/>
    </row>
    <row r="25" spans="2:3" x14ac:dyDescent="0.3">
      <c r="B25" s="2"/>
      <c r="C25" s="2"/>
    </row>
    <row r="26" spans="2:3" x14ac:dyDescent="0.3">
      <c r="B26" s="2"/>
      <c r="C26" s="2"/>
    </row>
    <row r="27" spans="2:3" x14ac:dyDescent="0.3">
      <c r="B27" s="2"/>
      <c r="C27" s="2"/>
    </row>
    <row r="28" spans="2:3" x14ac:dyDescent="0.3">
      <c r="B28" s="2"/>
      <c r="C28" s="2"/>
    </row>
    <row r="29" spans="2:3" x14ac:dyDescent="0.3">
      <c r="B29" s="2"/>
      <c r="C29" s="2"/>
    </row>
    <row r="30" spans="2:3" x14ac:dyDescent="0.3">
      <c r="B30" s="2"/>
      <c r="C30" s="2"/>
    </row>
    <row r="31" spans="2:3" x14ac:dyDescent="0.3">
      <c r="B31" s="2"/>
      <c r="C31" s="2"/>
    </row>
    <row r="32" spans="2:3" x14ac:dyDescent="0.3">
      <c r="B32" s="2"/>
      <c r="C32" s="2"/>
    </row>
    <row r="33" spans="2:3" x14ac:dyDescent="0.3">
      <c r="B33" s="2"/>
      <c r="C33" s="2"/>
    </row>
    <row r="34" spans="2:3" x14ac:dyDescent="0.3">
      <c r="B34" s="2"/>
      <c r="C34" s="2"/>
    </row>
    <row r="35" spans="2:3" x14ac:dyDescent="0.3">
      <c r="B35" s="2"/>
      <c r="C35" s="2"/>
    </row>
    <row r="36" spans="2:3" x14ac:dyDescent="0.3">
      <c r="B36" s="2"/>
      <c r="C36" s="2"/>
    </row>
    <row r="37" spans="2:3" x14ac:dyDescent="0.3">
      <c r="B37" s="2"/>
      <c r="C37" s="2"/>
    </row>
    <row r="38" spans="2:3" x14ac:dyDescent="0.3">
      <c r="B38" s="2"/>
      <c r="C38" s="2"/>
    </row>
    <row r="39" spans="2:3" x14ac:dyDescent="0.3">
      <c r="B39" s="2"/>
      <c r="C39" s="2"/>
    </row>
    <row r="40" spans="2:3" x14ac:dyDescent="0.3">
      <c r="B40" s="2"/>
      <c r="C40" s="2"/>
    </row>
    <row r="41" spans="2:3" x14ac:dyDescent="0.3">
      <c r="B41" s="2"/>
      <c r="C41" s="2"/>
    </row>
    <row r="42" spans="2:3" x14ac:dyDescent="0.3">
      <c r="B42" s="2"/>
      <c r="C42" s="2"/>
    </row>
    <row r="43" spans="2:3" x14ac:dyDescent="0.3">
      <c r="B43" s="2"/>
      <c r="C43" s="2"/>
    </row>
    <row r="44" spans="2:3" x14ac:dyDescent="0.3">
      <c r="B44" s="2"/>
      <c r="C44" s="2"/>
    </row>
    <row r="45" spans="2:3" x14ac:dyDescent="0.3">
      <c r="B45" s="2"/>
      <c r="C45" s="2"/>
    </row>
    <row r="46" spans="2:3" x14ac:dyDescent="0.3">
      <c r="B46" s="2"/>
      <c r="C46" s="2"/>
    </row>
    <row r="47" spans="2:3" x14ac:dyDescent="0.3">
      <c r="B47" s="2"/>
      <c r="C47" s="2"/>
    </row>
    <row r="48" spans="2:3" x14ac:dyDescent="0.3">
      <c r="B48" s="2"/>
      <c r="C48" s="2"/>
    </row>
    <row r="49" spans="2:3" x14ac:dyDescent="0.3">
      <c r="B49" s="2"/>
      <c r="C49" s="2"/>
    </row>
    <row r="50" spans="2:3" x14ac:dyDescent="0.3">
      <c r="B50" s="2"/>
      <c r="C50" s="2"/>
    </row>
    <row r="51" spans="2:3" x14ac:dyDescent="0.3">
      <c r="B51" s="2"/>
      <c r="C51" s="2"/>
    </row>
    <row r="52" spans="2:3" x14ac:dyDescent="0.3">
      <c r="B52" s="2"/>
      <c r="C52" s="2"/>
    </row>
    <row r="53" spans="2:3" x14ac:dyDescent="0.3">
      <c r="B53" s="2"/>
      <c r="C53" s="2"/>
    </row>
    <row r="54" spans="2:3" x14ac:dyDescent="0.3">
      <c r="B54" s="2"/>
      <c r="C54" s="2"/>
    </row>
    <row r="55" spans="2:3" x14ac:dyDescent="0.3">
      <c r="B55" s="2"/>
      <c r="C55" s="2"/>
    </row>
    <row r="56" spans="2:3" x14ac:dyDescent="0.3">
      <c r="B56" s="2"/>
      <c r="C56" s="2"/>
    </row>
    <row r="57" spans="2:3" x14ac:dyDescent="0.3">
      <c r="B57" s="2"/>
      <c r="C57" s="2"/>
    </row>
    <row r="58" spans="2:3" x14ac:dyDescent="0.3">
      <c r="B58" s="2"/>
      <c r="C58" s="2"/>
    </row>
    <row r="59" spans="2:3" x14ac:dyDescent="0.3">
      <c r="B59" s="2"/>
      <c r="C59" s="2"/>
    </row>
    <row r="60" spans="2:3" x14ac:dyDescent="0.3">
      <c r="B60" s="2"/>
      <c r="C60" s="2"/>
    </row>
    <row r="61" spans="2:3" x14ac:dyDescent="0.3">
      <c r="B61" s="2"/>
      <c r="C61" s="2"/>
    </row>
    <row r="62" spans="2:3" x14ac:dyDescent="0.3">
      <c r="B62" s="2"/>
      <c r="C62" s="2"/>
    </row>
    <row r="63" spans="2:3" x14ac:dyDescent="0.3">
      <c r="B63" s="2"/>
      <c r="C63" s="2"/>
    </row>
    <row r="64" spans="2:3" x14ac:dyDescent="0.3">
      <c r="B64" s="2"/>
      <c r="C64" s="2"/>
    </row>
    <row r="65" spans="2:3" x14ac:dyDescent="0.3">
      <c r="B65" s="2"/>
      <c r="C65" s="2"/>
    </row>
    <row r="66" spans="2:3" x14ac:dyDescent="0.3">
      <c r="B66" s="2"/>
      <c r="C66" s="2"/>
    </row>
    <row r="67" spans="2:3" x14ac:dyDescent="0.3">
      <c r="B67" s="2"/>
      <c r="C67" s="2"/>
    </row>
    <row r="68" spans="2:3" x14ac:dyDescent="0.3">
      <c r="B68" s="2"/>
      <c r="C68" s="2"/>
    </row>
    <row r="69" spans="2:3" x14ac:dyDescent="0.3">
      <c r="B69" s="2"/>
      <c r="C69" s="2"/>
    </row>
    <row r="70" spans="2:3" x14ac:dyDescent="0.3">
      <c r="B70" s="2"/>
      <c r="C70" s="2"/>
    </row>
    <row r="71" spans="2:3" x14ac:dyDescent="0.3">
      <c r="B71" s="2"/>
      <c r="C71" s="2"/>
    </row>
    <row r="72" spans="2:3" x14ac:dyDescent="0.3">
      <c r="B72" s="2"/>
      <c r="C72" s="2"/>
    </row>
    <row r="73" spans="2:3" x14ac:dyDescent="0.3">
      <c r="B73" s="2"/>
      <c r="C73" s="2"/>
    </row>
    <row r="74" spans="2:3" x14ac:dyDescent="0.3">
      <c r="B74" s="2"/>
      <c r="C74" s="2"/>
    </row>
    <row r="75" spans="2:3" x14ac:dyDescent="0.3">
      <c r="B75" s="2"/>
      <c r="C75" s="2"/>
    </row>
    <row r="76" spans="2:3" x14ac:dyDescent="0.3">
      <c r="B76" s="2"/>
      <c r="C76" s="2"/>
    </row>
    <row r="77" spans="2:3" x14ac:dyDescent="0.3">
      <c r="B77" s="2"/>
      <c r="C77" s="2"/>
    </row>
    <row r="78" spans="2:3" x14ac:dyDescent="0.3">
      <c r="B78" s="2"/>
      <c r="C78" s="2"/>
    </row>
    <row r="79" spans="2:3" x14ac:dyDescent="0.3">
      <c r="B79" s="2"/>
      <c r="C79" s="2"/>
    </row>
    <row r="80" spans="2:3" x14ac:dyDescent="0.3">
      <c r="B80" s="2"/>
      <c r="C80" s="2"/>
    </row>
    <row r="81" spans="2:3" x14ac:dyDescent="0.3">
      <c r="B81" s="2"/>
      <c r="C81" s="2"/>
    </row>
    <row r="82" spans="2:3" x14ac:dyDescent="0.3">
      <c r="B82" s="2"/>
      <c r="C82" s="2"/>
    </row>
    <row r="83" spans="2:3" x14ac:dyDescent="0.3">
      <c r="B83" s="2"/>
      <c r="C83" s="2"/>
    </row>
    <row r="84" spans="2:3" x14ac:dyDescent="0.3">
      <c r="B84" s="2"/>
      <c r="C84" s="2"/>
    </row>
    <row r="85" spans="2:3" x14ac:dyDescent="0.3">
      <c r="B85" s="2"/>
      <c r="C85" s="2"/>
    </row>
    <row r="86" spans="2:3" x14ac:dyDescent="0.3">
      <c r="B86" s="2"/>
      <c r="C86" s="2"/>
    </row>
    <row r="87" spans="2:3" x14ac:dyDescent="0.3">
      <c r="B87" s="2"/>
      <c r="C87" s="2"/>
    </row>
    <row r="88" spans="2:3" x14ac:dyDescent="0.3">
      <c r="B88" s="2"/>
      <c r="C88" s="2"/>
    </row>
    <row r="89" spans="2:3" x14ac:dyDescent="0.3">
      <c r="B89" s="2"/>
      <c r="C89" s="2"/>
    </row>
    <row r="90" spans="2:3" x14ac:dyDescent="0.3">
      <c r="B90" s="2"/>
      <c r="C90" s="2"/>
    </row>
    <row r="91" spans="2:3" x14ac:dyDescent="0.3">
      <c r="B91" s="2"/>
      <c r="C91" s="2"/>
    </row>
    <row r="92" spans="2:3" x14ac:dyDescent="0.3">
      <c r="B92" s="2"/>
      <c r="C92" s="2"/>
    </row>
    <row r="93" spans="2:3" x14ac:dyDescent="0.3">
      <c r="B93" s="2"/>
      <c r="C93" s="2"/>
    </row>
    <row r="94" spans="2:3" x14ac:dyDescent="0.3">
      <c r="B94" s="2"/>
      <c r="C94" s="2"/>
    </row>
    <row r="95" spans="2:3" x14ac:dyDescent="0.3">
      <c r="B95" s="2"/>
      <c r="C95" s="2"/>
    </row>
    <row r="96" spans="2:3" x14ac:dyDescent="0.3">
      <c r="B96" s="2"/>
      <c r="C96" s="2"/>
    </row>
    <row r="97" spans="2:3" x14ac:dyDescent="0.3">
      <c r="B97" s="2"/>
      <c r="C97" s="2"/>
    </row>
    <row r="98" spans="2:3" x14ac:dyDescent="0.3">
      <c r="B98" s="2"/>
      <c r="C98" s="2"/>
    </row>
    <row r="99" spans="2:3" x14ac:dyDescent="0.3">
      <c r="B99" s="2"/>
      <c r="C99" s="2"/>
    </row>
    <row r="100" spans="2:3" x14ac:dyDescent="0.3">
      <c r="B100" s="2"/>
      <c r="C100" s="2"/>
    </row>
    <row r="101" spans="2:3" x14ac:dyDescent="0.3">
      <c r="B101" s="2"/>
      <c r="C101" s="2"/>
    </row>
    <row r="102" spans="2:3" x14ac:dyDescent="0.3">
      <c r="B102" s="2"/>
      <c r="C102" s="2"/>
    </row>
    <row r="103" spans="2:3" x14ac:dyDescent="0.3">
      <c r="B103" s="2"/>
      <c r="C103" s="2"/>
    </row>
    <row r="104" spans="2:3" x14ac:dyDescent="0.3">
      <c r="B104" s="2"/>
      <c r="C104" s="2"/>
    </row>
    <row r="105" spans="2:3" x14ac:dyDescent="0.3">
      <c r="B105" s="2"/>
      <c r="C105" s="2"/>
    </row>
    <row r="106" spans="2:3" x14ac:dyDescent="0.3">
      <c r="B106" s="2"/>
      <c r="C106" s="2"/>
    </row>
    <row r="107" spans="2:3" x14ac:dyDescent="0.3">
      <c r="B107" s="2"/>
      <c r="C107" s="2"/>
    </row>
    <row r="108" spans="2:3" x14ac:dyDescent="0.3">
      <c r="B108" s="2"/>
      <c r="C108" s="2"/>
    </row>
    <row r="109" spans="2:3" x14ac:dyDescent="0.3">
      <c r="B109" s="2"/>
      <c r="C109" s="2"/>
    </row>
    <row r="110" spans="2:3" x14ac:dyDescent="0.3">
      <c r="B110" s="2"/>
      <c r="C110" s="2"/>
    </row>
    <row r="111" spans="2:3" x14ac:dyDescent="0.3">
      <c r="B111" s="2"/>
      <c r="C111" s="2"/>
    </row>
    <row r="112" spans="2:3" x14ac:dyDescent="0.3">
      <c r="B112" s="2"/>
      <c r="C112" s="2"/>
    </row>
    <row r="113" spans="2:3" x14ac:dyDescent="0.3">
      <c r="B113" s="2"/>
      <c r="C113" s="2"/>
    </row>
    <row r="114" spans="2:3" x14ac:dyDescent="0.3">
      <c r="B114" s="2"/>
      <c r="C114" s="2"/>
    </row>
    <row r="115" spans="2:3" x14ac:dyDescent="0.3">
      <c r="B115" s="2"/>
      <c r="C115" s="2"/>
    </row>
    <row r="116" spans="2:3" x14ac:dyDescent="0.3">
      <c r="B116" s="2"/>
      <c r="C116" s="2"/>
    </row>
    <row r="117" spans="2:3" x14ac:dyDescent="0.3">
      <c r="B117" s="2"/>
      <c r="C117" s="2"/>
    </row>
    <row r="118" spans="2:3" x14ac:dyDescent="0.3">
      <c r="B118" s="2"/>
      <c r="C118" s="2"/>
    </row>
    <row r="119" spans="2:3" x14ac:dyDescent="0.3">
      <c r="B119" s="2"/>
      <c r="C119" s="2"/>
    </row>
    <row r="120" spans="2:3" x14ac:dyDescent="0.3">
      <c r="B120" s="2"/>
      <c r="C120" s="2"/>
    </row>
    <row r="121" spans="2:3" x14ac:dyDescent="0.3">
      <c r="B121" s="2"/>
      <c r="C121" s="2"/>
    </row>
    <row r="122" spans="2:3" x14ac:dyDescent="0.3">
      <c r="B122" s="2"/>
      <c r="C122" s="2"/>
    </row>
    <row r="123" spans="2:3" x14ac:dyDescent="0.3">
      <c r="B123" s="2"/>
      <c r="C123" s="2"/>
    </row>
    <row r="124" spans="2:3" x14ac:dyDescent="0.3">
      <c r="B124" s="2"/>
      <c r="C124" s="2"/>
    </row>
    <row r="125" spans="2:3" x14ac:dyDescent="0.3">
      <c r="B125" s="2"/>
      <c r="C125" s="2"/>
    </row>
    <row r="126" spans="2:3" x14ac:dyDescent="0.3">
      <c r="B126" s="2"/>
      <c r="C126" s="2"/>
    </row>
    <row r="127" spans="2:3" x14ac:dyDescent="0.3">
      <c r="B127" s="2"/>
      <c r="C127" s="2"/>
    </row>
    <row r="128" spans="2:3" x14ac:dyDescent="0.3">
      <c r="B128" s="2"/>
      <c r="C128" s="2"/>
    </row>
    <row r="129" spans="2:3" x14ac:dyDescent="0.3">
      <c r="B129" s="2"/>
      <c r="C129" s="2"/>
    </row>
    <row r="130" spans="2:3" x14ac:dyDescent="0.3">
      <c r="B130" s="2"/>
      <c r="C130" s="2"/>
    </row>
    <row r="131" spans="2:3" x14ac:dyDescent="0.3">
      <c r="B131" s="2"/>
      <c r="C131" s="2"/>
    </row>
    <row r="132" spans="2:3" x14ac:dyDescent="0.3">
      <c r="B132" s="2"/>
      <c r="C132" s="2"/>
    </row>
    <row r="133" spans="2:3" x14ac:dyDescent="0.3">
      <c r="B133" s="2"/>
      <c r="C133" s="2"/>
    </row>
    <row r="134" spans="2:3" x14ac:dyDescent="0.3">
      <c r="B134" s="2"/>
      <c r="C134" s="2"/>
    </row>
    <row r="135" spans="2:3" x14ac:dyDescent="0.3">
      <c r="B135" s="2"/>
      <c r="C135" s="2"/>
    </row>
    <row r="136" spans="2:3" x14ac:dyDescent="0.3">
      <c r="B136" s="2"/>
      <c r="C136" s="2"/>
    </row>
    <row r="137" spans="2:3" x14ac:dyDescent="0.3">
      <c r="B137" s="2"/>
      <c r="C137" s="2"/>
    </row>
    <row r="138" spans="2:3" x14ac:dyDescent="0.3">
      <c r="B138" s="2"/>
      <c r="C138" s="2"/>
    </row>
    <row r="139" spans="2:3" x14ac:dyDescent="0.3">
      <c r="B139" s="2"/>
      <c r="C139" s="2"/>
    </row>
    <row r="140" spans="2:3" x14ac:dyDescent="0.3">
      <c r="B140" s="2"/>
      <c r="C140" s="2"/>
    </row>
    <row r="141" spans="2:3" x14ac:dyDescent="0.3">
      <c r="B141" s="2"/>
      <c r="C141" s="2"/>
    </row>
    <row r="142" spans="2:3" x14ac:dyDescent="0.3">
      <c r="B142" s="2"/>
      <c r="C142" s="2"/>
    </row>
    <row r="143" spans="2:3" x14ac:dyDescent="0.3">
      <c r="B143" s="2"/>
      <c r="C143" s="2"/>
    </row>
    <row r="144" spans="2:3" x14ac:dyDescent="0.3">
      <c r="B144" s="2"/>
      <c r="C144" s="2"/>
    </row>
    <row r="145" spans="2:3" x14ac:dyDescent="0.3">
      <c r="B145" s="2"/>
      <c r="C145" s="2"/>
    </row>
    <row r="146" spans="2:3" x14ac:dyDescent="0.3">
      <c r="B146" s="2"/>
      <c r="C146" s="2"/>
    </row>
    <row r="147" spans="2:3" x14ac:dyDescent="0.3">
      <c r="B147" s="2"/>
      <c r="C147" s="2"/>
    </row>
    <row r="148" spans="2:3" x14ac:dyDescent="0.3">
      <c r="B148" s="2"/>
      <c r="C148" s="2"/>
    </row>
    <row r="149" spans="2:3" x14ac:dyDescent="0.3">
      <c r="B149" s="2"/>
      <c r="C149" s="2"/>
    </row>
    <row r="150" spans="2:3" x14ac:dyDescent="0.3">
      <c r="B150" s="2"/>
      <c r="C150" s="2"/>
    </row>
    <row r="151" spans="2:3" x14ac:dyDescent="0.3">
      <c r="B151" s="2"/>
      <c r="C151" s="2"/>
    </row>
    <row r="152" spans="2:3" x14ac:dyDescent="0.3">
      <c r="B152" s="2"/>
      <c r="C152" s="2"/>
    </row>
    <row r="153" spans="2:3" x14ac:dyDescent="0.3">
      <c r="B153" s="2"/>
      <c r="C153" s="2"/>
    </row>
    <row r="154" spans="2:3" x14ac:dyDescent="0.3">
      <c r="B154" s="2"/>
      <c r="C154" s="2"/>
    </row>
    <row r="155" spans="2:3" x14ac:dyDescent="0.3">
      <c r="B155" s="2"/>
      <c r="C155" s="2"/>
    </row>
    <row r="156" spans="2:3" x14ac:dyDescent="0.3">
      <c r="B156" s="2"/>
      <c r="C156" s="2"/>
    </row>
    <row r="157" spans="2:3" x14ac:dyDescent="0.3">
      <c r="B157" s="2"/>
      <c r="C157" s="2"/>
    </row>
    <row r="158" spans="2:3" x14ac:dyDescent="0.3">
      <c r="B158" s="2"/>
      <c r="C158" s="2"/>
    </row>
    <row r="159" spans="2:3" x14ac:dyDescent="0.3">
      <c r="B159" s="2"/>
      <c r="C159" s="2"/>
    </row>
    <row r="160" spans="2:3" x14ac:dyDescent="0.3">
      <c r="B160" s="2"/>
      <c r="C160" s="2"/>
    </row>
  </sheetData>
  <mergeCells count="11">
    <mergeCell ref="B2:C2"/>
    <mergeCell ref="B3:C3"/>
    <mergeCell ref="B5:C5"/>
    <mergeCell ref="B6:C6"/>
    <mergeCell ref="B7:C7"/>
    <mergeCell ref="B14:C14"/>
    <mergeCell ref="B8:C8"/>
    <mergeCell ref="B9:C9"/>
    <mergeCell ref="B11:C11"/>
    <mergeCell ref="B12:C12"/>
    <mergeCell ref="B13:C13"/>
  </mergeCells>
  <phoneticPr fontId="12"/>
  <pageMargins left="0.25" right="0.25" top="0.4" bottom="0.4" header="0.2" footer="0.2"/>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F3296"/>
    <pageSetUpPr fitToPage="1"/>
  </sheetPr>
  <dimension ref="B1:D160"/>
  <sheetViews>
    <sheetView showGridLines="0" zoomScale="90" workbookViewId="0">
      <pane ySplit="3" topLeftCell="A4" activePane="bottomLeft" state="frozen"/>
      <selection pane="bottomLeft"/>
    </sheetView>
  </sheetViews>
  <sheetFormatPr defaultRowHeight="14" x14ac:dyDescent="0.3"/>
  <cols>
    <col min="1" max="1" width="2.6640625" customWidth="1"/>
    <col min="2" max="2" width="24.4140625" customWidth="1"/>
    <col min="3" max="3" width="48.9140625" customWidth="1"/>
    <col min="4" max="4" width="40" customWidth="1"/>
  </cols>
  <sheetData>
    <row r="1" spans="2:4" x14ac:dyDescent="0.3">
      <c r="B1" s="3"/>
      <c r="C1" s="3"/>
      <c r="D1" s="3"/>
    </row>
    <row r="2" spans="2:4" ht="27" customHeight="1" x14ac:dyDescent="0.3">
      <c r="B2" s="43" t="s">
        <v>156</v>
      </c>
      <c r="C2" s="43"/>
      <c r="D2" s="43"/>
    </row>
    <row r="3" spans="2:4" ht="21" customHeight="1" x14ac:dyDescent="0.3">
      <c r="B3" s="44" t="s">
        <v>157</v>
      </c>
      <c r="C3" s="44"/>
      <c r="D3" s="44"/>
    </row>
    <row r="4" spans="2:4" x14ac:dyDescent="0.3">
      <c r="B4" s="3"/>
      <c r="C4" s="3"/>
      <c r="D4" s="3"/>
    </row>
    <row r="5" spans="2:4" ht="23.25" customHeight="1" x14ac:dyDescent="0.3">
      <c r="B5" s="39" t="s">
        <v>158</v>
      </c>
      <c r="C5" s="40"/>
      <c r="D5" s="41"/>
    </row>
    <row r="6" spans="2:4" ht="24" customHeight="1" x14ac:dyDescent="0.3">
      <c r="B6" s="38" t="s">
        <v>159</v>
      </c>
      <c r="C6" s="38"/>
      <c r="D6" s="38"/>
    </row>
    <row r="7" spans="2:4" ht="24" customHeight="1" x14ac:dyDescent="0.3">
      <c r="B7" s="5" t="s">
        <v>160</v>
      </c>
      <c r="C7" s="6" t="s">
        <v>161</v>
      </c>
      <c r="D7" s="7" t="s">
        <v>162</v>
      </c>
    </row>
    <row r="8" spans="2:4" ht="28.5" customHeight="1" x14ac:dyDescent="0.3">
      <c r="B8" s="8" t="s">
        <v>163</v>
      </c>
      <c r="C8" s="8" t="s">
        <v>164</v>
      </c>
      <c r="D8" s="8" t="s">
        <v>165</v>
      </c>
    </row>
    <row r="9" spans="2:4" ht="28.5" customHeight="1" x14ac:dyDescent="0.3">
      <c r="B9" s="9" t="s">
        <v>166</v>
      </c>
      <c r="C9" s="9" t="s">
        <v>167</v>
      </c>
      <c r="D9" s="9" t="s">
        <v>168</v>
      </c>
    </row>
    <row r="10" spans="2:4" ht="28.5" customHeight="1" x14ac:dyDescent="0.3">
      <c r="B10" s="8" t="s">
        <v>169</v>
      </c>
      <c r="C10" s="8" t="s">
        <v>170</v>
      </c>
      <c r="D10" s="8" t="s">
        <v>171</v>
      </c>
    </row>
    <row r="11" spans="2:4" ht="28.5" customHeight="1" x14ac:dyDescent="0.3">
      <c r="B11" s="9" t="s">
        <v>172</v>
      </c>
      <c r="C11" s="9" t="s">
        <v>173</v>
      </c>
      <c r="D11" s="9" t="s">
        <v>171</v>
      </c>
    </row>
    <row r="12" spans="2:4" ht="28.5" customHeight="1" x14ac:dyDescent="0.3">
      <c r="B12" s="8" t="s">
        <v>174</v>
      </c>
      <c r="C12" s="8" t="s">
        <v>175</v>
      </c>
      <c r="D12" s="8" t="s">
        <v>176</v>
      </c>
    </row>
    <row r="13" spans="2:4" x14ac:dyDescent="0.3">
      <c r="B13" s="3"/>
      <c r="C13" s="3"/>
      <c r="D13" s="3"/>
    </row>
    <row r="14" spans="2:4" ht="24" customHeight="1" x14ac:dyDescent="0.3">
      <c r="B14" s="38" t="s">
        <v>177</v>
      </c>
      <c r="C14" s="38"/>
      <c r="D14" s="38"/>
    </row>
    <row r="15" spans="2:4" x14ac:dyDescent="0.3">
      <c r="B15" s="3"/>
      <c r="C15" s="3"/>
      <c r="D15" s="3"/>
    </row>
    <row r="16" spans="2:4" ht="23.25" customHeight="1" x14ac:dyDescent="0.3">
      <c r="B16" s="39" t="s">
        <v>178</v>
      </c>
      <c r="C16" s="40"/>
      <c r="D16" s="41"/>
    </row>
    <row r="17" spans="2:4" ht="23.25" customHeight="1" x14ac:dyDescent="0.3">
      <c r="B17" s="39" t="s">
        <v>179</v>
      </c>
      <c r="C17" s="40"/>
      <c r="D17" s="41"/>
    </row>
    <row r="18" spans="2:4" ht="37.5" customHeight="1" x14ac:dyDescent="0.3">
      <c r="B18" s="38" t="s">
        <v>180</v>
      </c>
      <c r="C18" s="38"/>
      <c r="D18" s="38"/>
    </row>
    <row r="19" spans="2:4" ht="24" customHeight="1" x14ac:dyDescent="0.3">
      <c r="B19" s="38" t="s">
        <v>181</v>
      </c>
      <c r="C19" s="38"/>
      <c r="D19" s="38"/>
    </row>
    <row r="20" spans="2:4" ht="23.25" customHeight="1" x14ac:dyDescent="0.3">
      <c r="B20" s="39" t="s">
        <v>182</v>
      </c>
      <c r="C20" s="40"/>
      <c r="D20" s="41"/>
    </row>
    <row r="21" spans="2:4" ht="24" customHeight="1" x14ac:dyDescent="0.3">
      <c r="B21" s="38" t="s">
        <v>183</v>
      </c>
      <c r="C21" s="38"/>
      <c r="D21" s="38"/>
    </row>
    <row r="22" spans="2:4" ht="24" customHeight="1" x14ac:dyDescent="0.3">
      <c r="B22" s="38" t="s">
        <v>184</v>
      </c>
      <c r="C22" s="38"/>
      <c r="D22" s="38"/>
    </row>
    <row r="23" spans="2:4" ht="24" customHeight="1" x14ac:dyDescent="0.3">
      <c r="B23" s="38" t="s">
        <v>185</v>
      </c>
      <c r="C23" s="38"/>
      <c r="D23" s="38"/>
    </row>
    <row r="24" spans="2:4" ht="24" customHeight="1" x14ac:dyDescent="0.3">
      <c r="B24" s="38" t="s">
        <v>186</v>
      </c>
      <c r="C24" s="38"/>
      <c r="D24" s="38"/>
    </row>
    <row r="25" spans="2:4" ht="24" customHeight="1" x14ac:dyDescent="0.3">
      <c r="B25" s="38" t="s">
        <v>187</v>
      </c>
      <c r="C25" s="38"/>
      <c r="D25" s="38"/>
    </row>
    <row r="26" spans="2:4" ht="23.25" customHeight="1" x14ac:dyDescent="0.3">
      <c r="B26" s="39" t="s">
        <v>188</v>
      </c>
      <c r="C26" s="40"/>
      <c r="D26" s="41"/>
    </row>
    <row r="27" spans="2:4" ht="37.5" customHeight="1" x14ac:dyDescent="0.3">
      <c r="B27" s="38" t="s">
        <v>189</v>
      </c>
      <c r="C27" s="38"/>
      <c r="D27" s="38"/>
    </row>
    <row r="28" spans="2:4" ht="37.5" customHeight="1" x14ac:dyDescent="0.3">
      <c r="B28" s="38" t="s">
        <v>190</v>
      </c>
      <c r="C28" s="38"/>
      <c r="D28" s="38"/>
    </row>
    <row r="29" spans="2:4" ht="24" customHeight="1" x14ac:dyDescent="0.3">
      <c r="B29" s="38" t="s">
        <v>191</v>
      </c>
      <c r="C29" s="38"/>
      <c r="D29" s="38"/>
    </row>
    <row r="30" spans="2:4" x14ac:dyDescent="0.3">
      <c r="B30" s="3"/>
      <c r="C30" s="3"/>
      <c r="D30" s="3"/>
    </row>
    <row r="31" spans="2:4" x14ac:dyDescent="0.3">
      <c r="B31" s="3"/>
      <c r="C31" s="3"/>
      <c r="D31" s="3"/>
    </row>
    <row r="32" spans="2:4" x14ac:dyDescent="0.3">
      <c r="B32" s="2"/>
      <c r="C32" s="2"/>
      <c r="D32" s="2"/>
    </row>
    <row r="33" spans="2:4" x14ac:dyDescent="0.3">
      <c r="B33" s="2"/>
      <c r="C33" s="2"/>
      <c r="D33" s="2"/>
    </row>
    <row r="34" spans="2:4" x14ac:dyDescent="0.3">
      <c r="B34" s="2"/>
      <c r="C34" s="2"/>
      <c r="D34" s="2"/>
    </row>
    <row r="35" spans="2:4" x14ac:dyDescent="0.3">
      <c r="B35" s="2"/>
      <c r="C35" s="2"/>
      <c r="D35" s="2"/>
    </row>
    <row r="36" spans="2:4" x14ac:dyDescent="0.3">
      <c r="B36" s="2"/>
      <c r="C36" s="2"/>
      <c r="D36" s="2"/>
    </row>
    <row r="37" spans="2:4" x14ac:dyDescent="0.3">
      <c r="B37" s="2"/>
      <c r="C37" s="2"/>
      <c r="D37" s="2"/>
    </row>
    <row r="38" spans="2:4" x14ac:dyDescent="0.3">
      <c r="B38" s="2"/>
      <c r="C38" s="2"/>
      <c r="D38" s="2"/>
    </row>
    <row r="39" spans="2:4" x14ac:dyDescent="0.3">
      <c r="B39" s="2"/>
      <c r="C39" s="2"/>
      <c r="D39" s="2"/>
    </row>
    <row r="40" spans="2:4" x14ac:dyDescent="0.3">
      <c r="B40" s="2"/>
      <c r="C40" s="2"/>
      <c r="D40" s="2"/>
    </row>
    <row r="41" spans="2:4" x14ac:dyDescent="0.3">
      <c r="B41" s="2"/>
      <c r="C41" s="2"/>
      <c r="D41" s="2"/>
    </row>
    <row r="42" spans="2:4" x14ac:dyDescent="0.3">
      <c r="B42" s="2"/>
      <c r="C42" s="2"/>
      <c r="D42" s="2"/>
    </row>
    <row r="43" spans="2:4" x14ac:dyDescent="0.3">
      <c r="B43" s="2"/>
      <c r="C43" s="2"/>
      <c r="D43" s="2"/>
    </row>
    <row r="44" spans="2:4" x14ac:dyDescent="0.3">
      <c r="B44" s="2"/>
      <c r="C44" s="2"/>
      <c r="D44" s="2"/>
    </row>
    <row r="45" spans="2:4" x14ac:dyDescent="0.3">
      <c r="B45" s="2"/>
      <c r="C45" s="2"/>
      <c r="D45" s="2"/>
    </row>
    <row r="46" spans="2:4" x14ac:dyDescent="0.3">
      <c r="B46" s="2"/>
      <c r="C46" s="2"/>
      <c r="D46" s="2"/>
    </row>
    <row r="47" spans="2:4" x14ac:dyDescent="0.3">
      <c r="B47" s="2"/>
      <c r="C47" s="2"/>
      <c r="D47" s="2"/>
    </row>
    <row r="48" spans="2:4" x14ac:dyDescent="0.3">
      <c r="B48" s="2"/>
      <c r="C48" s="2"/>
      <c r="D48" s="2"/>
    </row>
    <row r="49" spans="2:4" x14ac:dyDescent="0.3">
      <c r="B49" s="2"/>
      <c r="C49" s="2"/>
      <c r="D49" s="2"/>
    </row>
    <row r="50" spans="2:4" x14ac:dyDescent="0.3">
      <c r="B50" s="2"/>
      <c r="C50" s="2"/>
      <c r="D50" s="2"/>
    </row>
    <row r="51" spans="2:4" x14ac:dyDescent="0.3">
      <c r="B51" s="2"/>
      <c r="C51" s="2"/>
      <c r="D51" s="2"/>
    </row>
    <row r="52" spans="2:4" x14ac:dyDescent="0.3">
      <c r="B52" s="2"/>
      <c r="C52" s="2"/>
      <c r="D52" s="2"/>
    </row>
    <row r="53" spans="2:4" x14ac:dyDescent="0.3">
      <c r="B53" s="2"/>
      <c r="C53" s="2"/>
      <c r="D53" s="2"/>
    </row>
    <row r="54" spans="2:4" x14ac:dyDescent="0.3">
      <c r="B54" s="2"/>
      <c r="C54" s="2"/>
      <c r="D54" s="2"/>
    </row>
    <row r="55" spans="2:4" x14ac:dyDescent="0.3">
      <c r="B55" s="2"/>
      <c r="C55" s="2"/>
      <c r="D55" s="2"/>
    </row>
    <row r="56" spans="2:4" x14ac:dyDescent="0.3">
      <c r="B56" s="2"/>
      <c r="C56" s="2"/>
      <c r="D56" s="2"/>
    </row>
    <row r="57" spans="2:4" x14ac:dyDescent="0.3">
      <c r="B57" s="2"/>
      <c r="C57" s="2"/>
      <c r="D57" s="2"/>
    </row>
    <row r="58" spans="2:4" x14ac:dyDescent="0.3">
      <c r="B58" s="2"/>
      <c r="C58" s="2"/>
      <c r="D58" s="2"/>
    </row>
    <row r="59" spans="2:4" x14ac:dyDescent="0.3">
      <c r="B59" s="2"/>
      <c r="C59" s="2"/>
      <c r="D59" s="2"/>
    </row>
    <row r="60" spans="2:4" x14ac:dyDescent="0.3">
      <c r="B60" s="2"/>
      <c r="C60" s="2"/>
      <c r="D60" s="2"/>
    </row>
    <row r="61" spans="2:4" x14ac:dyDescent="0.3">
      <c r="B61" s="2"/>
      <c r="C61" s="2"/>
      <c r="D61" s="2"/>
    </row>
    <row r="62" spans="2:4" x14ac:dyDescent="0.3">
      <c r="B62" s="2"/>
      <c r="C62" s="2"/>
      <c r="D62" s="2"/>
    </row>
    <row r="63" spans="2:4" x14ac:dyDescent="0.3">
      <c r="B63" s="2"/>
      <c r="C63" s="2"/>
      <c r="D63" s="2"/>
    </row>
    <row r="64" spans="2:4" x14ac:dyDescent="0.3">
      <c r="B64" s="2"/>
      <c r="C64" s="2"/>
      <c r="D64" s="2"/>
    </row>
    <row r="65" spans="2:4" x14ac:dyDescent="0.3">
      <c r="B65" s="2"/>
      <c r="C65" s="2"/>
      <c r="D65" s="2"/>
    </row>
    <row r="66" spans="2:4" x14ac:dyDescent="0.3">
      <c r="B66" s="2"/>
      <c r="C66" s="2"/>
      <c r="D66" s="2"/>
    </row>
    <row r="67" spans="2:4" x14ac:dyDescent="0.3">
      <c r="B67" s="2"/>
      <c r="C67" s="2"/>
      <c r="D67" s="2"/>
    </row>
    <row r="68" spans="2:4" x14ac:dyDescent="0.3">
      <c r="B68" s="2"/>
      <c r="C68" s="2"/>
      <c r="D68" s="2"/>
    </row>
    <row r="69" spans="2:4" x14ac:dyDescent="0.3">
      <c r="B69" s="2"/>
      <c r="C69" s="2"/>
      <c r="D69" s="2"/>
    </row>
    <row r="70" spans="2:4" x14ac:dyDescent="0.3">
      <c r="B70" s="2"/>
      <c r="C70" s="2"/>
      <c r="D70" s="2"/>
    </row>
    <row r="71" spans="2:4" x14ac:dyDescent="0.3">
      <c r="B71" s="2"/>
      <c r="C71" s="2"/>
      <c r="D71" s="2"/>
    </row>
    <row r="72" spans="2:4" x14ac:dyDescent="0.3">
      <c r="B72" s="2"/>
      <c r="C72" s="2"/>
      <c r="D72" s="2"/>
    </row>
    <row r="73" spans="2:4" x14ac:dyDescent="0.3">
      <c r="B73" s="2"/>
      <c r="C73" s="2"/>
      <c r="D73" s="2"/>
    </row>
    <row r="74" spans="2:4" x14ac:dyDescent="0.3">
      <c r="B74" s="2"/>
      <c r="C74" s="2"/>
      <c r="D74" s="2"/>
    </row>
    <row r="75" spans="2:4" x14ac:dyDescent="0.3">
      <c r="B75" s="2"/>
      <c r="C75" s="2"/>
      <c r="D75" s="2"/>
    </row>
    <row r="76" spans="2:4" x14ac:dyDescent="0.3">
      <c r="B76" s="2"/>
      <c r="C76" s="2"/>
      <c r="D76" s="2"/>
    </row>
    <row r="77" spans="2:4" x14ac:dyDescent="0.3">
      <c r="B77" s="2"/>
      <c r="C77" s="2"/>
      <c r="D77" s="2"/>
    </row>
    <row r="78" spans="2:4" x14ac:dyDescent="0.3">
      <c r="B78" s="2"/>
      <c r="C78" s="2"/>
      <c r="D78" s="2"/>
    </row>
    <row r="79" spans="2:4" x14ac:dyDescent="0.3">
      <c r="B79" s="2"/>
      <c r="C79" s="2"/>
      <c r="D79" s="2"/>
    </row>
    <row r="80" spans="2:4" x14ac:dyDescent="0.3">
      <c r="B80" s="2"/>
      <c r="C80" s="2"/>
      <c r="D80" s="2"/>
    </row>
    <row r="81" spans="2:4" x14ac:dyDescent="0.3">
      <c r="B81" s="2"/>
      <c r="C81" s="2"/>
      <c r="D81" s="2"/>
    </row>
    <row r="82" spans="2:4" x14ac:dyDescent="0.3">
      <c r="B82" s="2"/>
      <c r="C82" s="2"/>
      <c r="D82" s="2"/>
    </row>
    <row r="83" spans="2:4" x14ac:dyDescent="0.3">
      <c r="B83" s="2"/>
      <c r="C83" s="2"/>
      <c r="D83" s="2"/>
    </row>
    <row r="84" spans="2:4" x14ac:dyDescent="0.3">
      <c r="B84" s="2"/>
      <c r="C84" s="2"/>
      <c r="D84" s="2"/>
    </row>
    <row r="85" spans="2:4" x14ac:dyDescent="0.3">
      <c r="B85" s="2"/>
      <c r="C85" s="2"/>
      <c r="D85" s="2"/>
    </row>
    <row r="86" spans="2:4" x14ac:dyDescent="0.3">
      <c r="B86" s="2"/>
      <c r="C86" s="2"/>
      <c r="D86" s="2"/>
    </row>
    <row r="87" spans="2:4" x14ac:dyDescent="0.3">
      <c r="B87" s="2"/>
      <c r="C87" s="2"/>
      <c r="D87" s="2"/>
    </row>
    <row r="88" spans="2:4" x14ac:dyDescent="0.3">
      <c r="B88" s="2"/>
      <c r="C88" s="2"/>
      <c r="D88" s="2"/>
    </row>
    <row r="89" spans="2:4" x14ac:dyDescent="0.3">
      <c r="B89" s="2"/>
      <c r="C89" s="2"/>
      <c r="D89" s="2"/>
    </row>
    <row r="90" spans="2:4" x14ac:dyDescent="0.3">
      <c r="B90" s="2"/>
      <c r="C90" s="2"/>
      <c r="D90" s="2"/>
    </row>
    <row r="91" spans="2:4" x14ac:dyDescent="0.3">
      <c r="B91" s="2"/>
      <c r="C91" s="2"/>
      <c r="D91" s="2"/>
    </row>
    <row r="92" spans="2:4" x14ac:dyDescent="0.3">
      <c r="B92" s="2"/>
      <c r="C92" s="2"/>
      <c r="D92" s="2"/>
    </row>
    <row r="93" spans="2:4" x14ac:dyDescent="0.3">
      <c r="B93" s="2"/>
      <c r="C93" s="2"/>
      <c r="D93" s="2"/>
    </row>
    <row r="94" spans="2:4" x14ac:dyDescent="0.3">
      <c r="B94" s="2"/>
      <c r="C94" s="2"/>
      <c r="D94" s="2"/>
    </row>
    <row r="95" spans="2:4" x14ac:dyDescent="0.3">
      <c r="B95" s="2"/>
      <c r="C95" s="2"/>
      <c r="D95" s="2"/>
    </row>
    <row r="96" spans="2:4" x14ac:dyDescent="0.3">
      <c r="B96" s="2"/>
      <c r="C96" s="2"/>
      <c r="D96" s="2"/>
    </row>
    <row r="97" spans="2:4" x14ac:dyDescent="0.3">
      <c r="B97" s="2"/>
      <c r="C97" s="2"/>
      <c r="D97" s="2"/>
    </row>
    <row r="98" spans="2:4" x14ac:dyDescent="0.3">
      <c r="B98" s="2"/>
      <c r="C98" s="2"/>
      <c r="D98" s="2"/>
    </row>
    <row r="99" spans="2:4" x14ac:dyDescent="0.3">
      <c r="B99" s="2"/>
      <c r="C99" s="2"/>
      <c r="D99" s="2"/>
    </row>
    <row r="100" spans="2:4" x14ac:dyDescent="0.3">
      <c r="B100" s="2"/>
      <c r="C100" s="2"/>
      <c r="D100" s="2"/>
    </row>
    <row r="101" spans="2:4" x14ac:dyDescent="0.3">
      <c r="B101" s="2"/>
      <c r="C101" s="2"/>
      <c r="D101" s="2"/>
    </row>
    <row r="102" spans="2:4" x14ac:dyDescent="0.3">
      <c r="B102" s="2"/>
      <c r="C102" s="2"/>
      <c r="D102" s="2"/>
    </row>
    <row r="103" spans="2:4" x14ac:dyDescent="0.3">
      <c r="B103" s="2"/>
      <c r="C103" s="2"/>
      <c r="D103" s="2"/>
    </row>
    <row r="104" spans="2:4" x14ac:dyDescent="0.3">
      <c r="B104" s="2"/>
      <c r="C104" s="2"/>
      <c r="D104" s="2"/>
    </row>
    <row r="105" spans="2:4" x14ac:dyDescent="0.3">
      <c r="B105" s="2"/>
      <c r="C105" s="2"/>
      <c r="D105" s="2"/>
    </row>
    <row r="106" spans="2:4" x14ac:dyDescent="0.3">
      <c r="B106" s="2"/>
      <c r="C106" s="2"/>
      <c r="D106" s="2"/>
    </row>
    <row r="107" spans="2:4" x14ac:dyDescent="0.3">
      <c r="B107" s="2"/>
      <c r="C107" s="2"/>
      <c r="D107" s="2"/>
    </row>
    <row r="108" spans="2:4" x14ac:dyDescent="0.3">
      <c r="B108" s="2"/>
      <c r="C108" s="2"/>
      <c r="D108" s="2"/>
    </row>
    <row r="109" spans="2:4" x14ac:dyDescent="0.3">
      <c r="B109" s="2"/>
      <c r="C109" s="2"/>
      <c r="D109" s="2"/>
    </row>
    <row r="110" spans="2:4" x14ac:dyDescent="0.3">
      <c r="B110" s="2"/>
      <c r="C110" s="2"/>
      <c r="D110" s="2"/>
    </row>
    <row r="111" spans="2:4" x14ac:dyDescent="0.3">
      <c r="B111" s="2"/>
      <c r="C111" s="2"/>
      <c r="D111" s="2"/>
    </row>
    <row r="112" spans="2:4" x14ac:dyDescent="0.3">
      <c r="B112" s="2"/>
      <c r="C112" s="2"/>
      <c r="D112" s="2"/>
    </row>
    <row r="113" spans="2:4" x14ac:dyDescent="0.3">
      <c r="B113" s="2"/>
      <c r="C113" s="2"/>
      <c r="D113" s="2"/>
    </row>
    <row r="114" spans="2:4" x14ac:dyDescent="0.3">
      <c r="B114" s="2"/>
      <c r="C114" s="2"/>
      <c r="D114" s="2"/>
    </row>
    <row r="115" spans="2:4" x14ac:dyDescent="0.3">
      <c r="B115" s="2"/>
      <c r="C115" s="2"/>
      <c r="D115" s="2"/>
    </row>
    <row r="116" spans="2:4" x14ac:dyDescent="0.3">
      <c r="B116" s="2"/>
      <c r="C116" s="2"/>
      <c r="D116" s="2"/>
    </row>
    <row r="117" spans="2:4" x14ac:dyDescent="0.3">
      <c r="B117" s="2"/>
      <c r="C117" s="2"/>
      <c r="D117" s="2"/>
    </row>
    <row r="118" spans="2:4" x14ac:dyDescent="0.3">
      <c r="B118" s="2"/>
      <c r="C118" s="2"/>
      <c r="D118" s="2"/>
    </row>
    <row r="119" spans="2:4" x14ac:dyDescent="0.3">
      <c r="B119" s="2"/>
      <c r="C119" s="2"/>
      <c r="D119" s="2"/>
    </row>
    <row r="120" spans="2:4" x14ac:dyDescent="0.3">
      <c r="B120" s="2"/>
      <c r="C120" s="2"/>
      <c r="D120" s="2"/>
    </row>
    <row r="121" spans="2:4" x14ac:dyDescent="0.3">
      <c r="B121" s="2"/>
      <c r="C121" s="2"/>
      <c r="D121" s="2"/>
    </row>
    <row r="122" spans="2:4" x14ac:dyDescent="0.3">
      <c r="B122" s="2"/>
      <c r="C122" s="2"/>
      <c r="D122" s="2"/>
    </row>
    <row r="123" spans="2:4" x14ac:dyDescent="0.3">
      <c r="B123" s="2"/>
      <c r="C123" s="2"/>
      <c r="D123" s="2"/>
    </row>
    <row r="124" spans="2:4" x14ac:dyDescent="0.3">
      <c r="B124" s="2"/>
      <c r="C124" s="2"/>
      <c r="D124" s="2"/>
    </row>
    <row r="125" spans="2:4" x14ac:dyDescent="0.3">
      <c r="B125" s="2"/>
      <c r="C125" s="2"/>
      <c r="D125" s="2"/>
    </row>
    <row r="126" spans="2:4" x14ac:dyDescent="0.3">
      <c r="B126" s="2"/>
      <c r="C126" s="2"/>
      <c r="D126" s="2"/>
    </row>
    <row r="127" spans="2:4" x14ac:dyDescent="0.3">
      <c r="B127" s="2"/>
      <c r="C127" s="2"/>
      <c r="D127" s="2"/>
    </row>
    <row r="128" spans="2:4" x14ac:dyDescent="0.3">
      <c r="B128" s="2"/>
      <c r="C128" s="2"/>
      <c r="D128" s="2"/>
    </row>
    <row r="129" spans="2:4" x14ac:dyDescent="0.3">
      <c r="B129" s="2"/>
      <c r="C129" s="2"/>
      <c r="D129" s="2"/>
    </row>
    <row r="130" spans="2:4" x14ac:dyDescent="0.3">
      <c r="B130" s="2"/>
      <c r="C130" s="2"/>
      <c r="D130" s="2"/>
    </row>
    <row r="131" spans="2:4" x14ac:dyDescent="0.3">
      <c r="B131" s="2"/>
      <c r="C131" s="2"/>
      <c r="D131" s="2"/>
    </row>
    <row r="132" spans="2:4" x14ac:dyDescent="0.3">
      <c r="B132" s="2"/>
      <c r="C132" s="2"/>
      <c r="D132" s="2"/>
    </row>
    <row r="133" spans="2:4" x14ac:dyDescent="0.3">
      <c r="B133" s="2"/>
      <c r="C133" s="2"/>
      <c r="D133" s="2"/>
    </row>
    <row r="134" spans="2:4" x14ac:dyDescent="0.3">
      <c r="B134" s="2"/>
      <c r="C134" s="2"/>
      <c r="D134" s="2"/>
    </row>
    <row r="135" spans="2:4" x14ac:dyDescent="0.3">
      <c r="B135" s="2"/>
      <c r="C135" s="2"/>
      <c r="D135" s="2"/>
    </row>
    <row r="136" spans="2:4" x14ac:dyDescent="0.3">
      <c r="B136" s="2"/>
      <c r="C136" s="2"/>
      <c r="D136" s="2"/>
    </row>
    <row r="137" spans="2:4" x14ac:dyDescent="0.3">
      <c r="B137" s="2"/>
      <c r="C137" s="2"/>
      <c r="D137" s="2"/>
    </row>
    <row r="138" spans="2:4" x14ac:dyDescent="0.3">
      <c r="B138" s="2"/>
      <c r="C138" s="2"/>
      <c r="D138" s="2"/>
    </row>
    <row r="139" spans="2:4" x14ac:dyDescent="0.3">
      <c r="B139" s="2"/>
      <c r="C139" s="2"/>
      <c r="D139" s="2"/>
    </row>
    <row r="140" spans="2:4" x14ac:dyDescent="0.3">
      <c r="B140" s="2"/>
      <c r="C140" s="2"/>
      <c r="D140" s="2"/>
    </row>
    <row r="141" spans="2:4" x14ac:dyDescent="0.3">
      <c r="B141" s="2"/>
      <c r="C141" s="2"/>
      <c r="D141" s="2"/>
    </row>
    <row r="142" spans="2:4" x14ac:dyDescent="0.3">
      <c r="B142" s="2"/>
      <c r="C142" s="2"/>
      <c r="D142" s="2"/>
    </row>
    <row r="143" spans="2:4" x14ac:dyDescent="0.3">
      <c r="B143" s="2"/>
      <c r="C143" s="2"/>
      <c r="D143" s="2"/>
    </row>
    <row r="144" spans="2:4" x14ac:dyDescent="0.3">
      <c r="B144" s="2"/>
      <c r="C144" s="2"/>
      <c r="D144" s="2"/>
    </row>
    <row r="145" spans="2:4" x14ac:dyDescent="0.3">
      <c r="B145" s="2"/>
      <c r="C145" s="2"/>
      <c r="D145" s="2"/>
    </row>
    <row r="146" spans="2:4" x14ac:dyDescent="0.3">
      <c r="B146" s="2"/>
      <c r="C146" s="2"/>
      <c r="D146" s="2"/>
    </row>
    <row r="147" spans="2:4" x14ac:dyDescent="0.3">
      <c r="B147" s="2"/>
      <c r="C147" s="2"/>
      <c r="D147" s="2"/>
    </row>
    <row r="148" spans="2:4" x14ac:dyDescent="0.3">
      <c r="B148" s="2"/>
      <c r="C148" s="2"/>
      <c r="D148" s="2"/>
    </row>
    <row r="149" spans="2:4" x14ac:dyDescent="0.3">
      <c r="B149" s="2"/>
      <c r="C149" s="2"/>
      <c r="D149" s="2"/>
    </row>
    <row r="150" spans="2:4" x14ac:dyDescent="0.3">
      <c r="B150" s="2"/>
      <c r="C150" s="2"/>
      <c r="D150" s="2"/>
    </row>
    <row r="151" spans="2:4" x14ac:dyDescent="0.3">
      <c r="B151" s="2"/>
      <c r="C151" s="2"/>
      <c r="D151" s="2"/>
    </row>
    <row r="152" spans="2:4" x14ac:dyDescent="0.3">
      <c r="B152" s="2"/>
      <c r="C152" s="2"/>
      <c r="D152" s="2"/>
    </row>
    <row r="153" spans="2:4" x14ac:dyDescent="0.3">
      <c r="B153" s="2"/>
      <c r="C153" s="2"/>
      <c r="D153" s="2"/>
    </row>
    <row r="154" spans="2:4" x14ac:dyDescent="0.3">
      <c r="B154" s="2"/>
      <c r="C154" s="2"/>
      <c r="D154" s="2"/>
    </row>
    <row r="155" spans="2:4" x14ac:dyDescent="0.3">
      <c r="B155" s="2"/>
      <c r="C155" s="2"/>
      <c r="D155" s="2"/>
    </row>
    <row r="156" spans="2:4" x14ac:dyDescent="0.3">
      <c r="B156" s="2"/>
      <c r="C156" s="2"/>
      <c r="D156" s="2"/>
    </row>
    <row r="157" spans="2:4" x14ac:dyDescent="0.3">
      <c r="B157" s="2"/>
      <c r="C157" s="2"/>
      <c r="D157" s="2"/>
    </row>
    <row r="158" spans="2:4" x14ac:dyDescent="0.3">
      <c r="B158" s="2"/>
      <c r="C158" s="2"/>
      <c r="D158" s="2"/>
    </row>
    <row r="159" spans="2:4" x14ac:dyDescent="0.3">
      <c r="B159" s="2"/>
      <c r="C159" s="2"/>
      <c r="D159" s="2"/>
    </row>
    <row r="160" spans="2:4" x14ac:dyDescent="0.3">
      <c r="B160" s="2"/>
      <c r="C160" s="2"/>
      <c r="D160" s="2"/>
    </row>
  </sheetData>
  <mergeCells count="19">
    <mergeCell ref="B2:D2"/>
    <mergeCell ref="B3:D3"/>
    <mergeCell ref="B5:D5"/>
    <mergeCell ref="B6:D6"/>
    <mergeCell ref="B14:D14"/>
    <mergeCell ref="B16:D16"/>
    <mergeCell ref="B17:D17"/>
    <mergeCell ref="B18:D18"/>
    <mergeCell ref="B19:D19"/>
    <mergeCell ref="B20:D20"/>
    <mergeCell ref="B26:D26"/>
    <mergeCell ref="B27:D27"/>
    <mergeCell ref="B28:D28"/>
    <mergeCell ref="B29:D29"/>
    <mergeCell ref="B21:D21"/>
    <mergeCell ref="B22:D22"/>
    <mergeCell ref="B23:D23"/>
    <mergeCell ref="B24:D24"/>
    <mergeCell ref="B25:D25"/>
  </mergeCells>
  <phoneticPr fontId="12"/>
  <pageMargins left="0.25" right="0.25" top="0.4" bottom="0.4" header="0.2" footer="0.2"/>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F3296"/>
    <pageSetUpPr fitToPage="1"/>
  </sheetPr>
  <dimension ref="B2:AF42"/>
  <sheetViews>
    <sheetView showGridLines="0" zoomScale="90" workbookViewId="0">
      <pane ySplit="9" topLeftCell="A10" activePane="bottomLeft" state="frozen"/>
      <selection pane="bottomLeft"/>
    </sheetView>
  </sheetViews>
  <sheetFormatPr defaultColWidth="8.83203125" defaultRowHeight="14" x14ac:dyDescent="0.3"/>
  <cols>
    <col min="1" max="1" width="2.6640625" style="1" customWidth="1"/>
    <col min="2" max="2" width="21.08203125" style="1" customWidth="1"/>
    <col min="3" max="3" width="37.75" style="1" customWidth="1"/>
    <col min="4" max="4" width="8.25" style="1" customWidth="1"/>
    <col min="5" max="5" width="10.58203125" style="1" customWidth="1"/>
    <col min="6" max="6" width="7.75" style="1" customWidth="1"/>
    <col min="7" max="8" width="7.33203125" customWidth="1"/>
    <col min="9" max="9" width="10" style="1" customWidth="1"/>
    <col min="10" max="10" width="1.75" style="1" customWidth="1"/>
    <col min="11" max="32" width="4.08203125" customWidth="1"/>
    <col min="33" max="16384" width="8.83203125" style="1"/>
  </cols>
  <sheetData>
    <row r="2" spans="2:32" ht="26.25" customHeight="1" x14ac:dyDescent="0.4">
      <c r="B2" s="70" t="s">
        <v>192</v>
      </c>
      <c r="C2" s="70"/>
      <c r="D2" s="70"/>
      <c r="E2" s="70"/>
      <c r="F2" s="70"/>
      <c r="G2" s="70"/>
      <c r="H2" s="70"/>
      <c r="I2" s="70"/>
      <c r="J2" s="70"/>
      <c r="K2" s="70"/>
      <c r="L2" s="70"/>
      <c r="M2" s="70"/>
      <c r="N2" s="70"/>
      <c r="O2" s="70"/>
      <c r="P2" s="70"/>
      <c r="Q2" s="70"/>
      <c r="R2" s="70"/>
      <c r="S2" s="70" t="s">
        <v>193</v>
      </c>
      <c r="T2" s="70"/>
      <c r="U2" s="70"/>
      <c r="V2" s="70"/>
      <c r="W2" s="70"/>
      <c r="X2" s="70"/>
      <c r="Y2" s="70"/>
      <c r="Z2" s="70"/>
      <c r="AA2" s="70"/>
      <c r="AB2" s="70"/>
      <c r="AC2" s="70"/>
      <c r="AD2" s="70"/>
      <c r="AE2" s="80"/>
      <c r="AF2" s="80"/>
    </row>
    <row r="3" spans="2:32" x14ac:dyDescent="0.25">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0"/>
      <c r="AF3" s="10"/>
    </row>
    <row r="4" spans="2:32" ht="22" customHeight="1" x14ac:dyDescent="0.25">
      <c r="B4" s="71" t="s">
        <v>194</v>
      </c>
      <c r="C4" s="71"/>
      <c r="D4" s="71"/>
      <c r="E4" s="71"/>
      <c r="F4" s="71"/>
      <c r="G4" s="71"/>
      <c r="H4" s="71"/>
      <c r="I4" s="71"/>
      <c r="J4" s="11"/>
      <c r="K4" s="71" t="s">
        <v>195</v>
      </c>
      <c r="L4" s="71"/>
      <c r="M4" s="71"/>
      <c r="N4" s="71"/>
      <c r="O4" s="71"/>
      <c r="P4" s="71"/>
      <c r="Q4" s="71"/>
      <c r="R4" s="71"/>
      <c r="S4" s="71"/>
      <c r="T4" s="71"/>
      <c r="U4" s="71"/>
      <c r="V4" s="71"/>
      <c r="W4" s="71"/>
      <c r="X4" s="71"/>
      <c r="Y4" s="71"/>
      <c r="Z4" s="71"/>
      <c r="AA4" s="71"/>
      <c r="AB4" s="71"/>
      <c r="AC4" s="71"/>
      <c r="AD4" s="71"/>
      <c r="AE4" s="81"/>
      <c r="AF4" s="81"/>
    </row>
    <row r="5" spans="2:32" ht="22" customHeight="1" x14ac:dyDescent="0.25">
      <c r="B5" s="12" t="s">
        <v>196</v>
      </c>
      <c r="C5" s="72">
        <v>15</v>
      </c>
      <c r="D5" s="73"/>
      <c r="E5" s="73"/>
      <c r="F5" s="78" t="s">
        <v>6</v>
      </c>
      <c r="G5" s="79"/>
      <c r="H5" s="74" t="s">
        <v>197</v>
      </c>
      <c r="I5" s="74"/>
      <c r="J5" s="11"/>
      <c r="K5" s="75" t="s">
        <v>198</v>
      </c>
      <c r="L5" s="76"/>
      <c r="M5" s="76"/>
      <c r="N5" s="77"/>
      <c r="O5" s="75" t="s">
        <v>199</v>
      </c>
      <c r="P5" s="76"/>
      <c r="Q5" s="76"/>
      <c r="R5" s="77"/>
      <c r="S5" s="75" t="s">
        <v>200</v>
      </c>
      <c r="T5" s="76"/>
      <c r="U5" s="76"/>
      <c r="V5" s="77"/>
      <c r="W5" s="75" t="s">
        <v>201</v>
      </c>
      <c r="X5" s="76"/>
      <c r="Y5" s="76"/>
      <c r="Z5" s="77"/>
      <c r="AA5" s="75" t="s">
        <v>202</v>
      </c>
      <c r="AB5" s="76"/>
      <c r="AC5" s="76"/>
      <c r="AD5" s="77"/>
      <c r="AE5" s="10"/>
      <c r="AF5" s="10"/>
    </row>
    <row r="6" spans="2:32" ht="22" customHeight="1" x14ac:dyDescent="0.25">
      <c r="B6" s="12" t="s">
        <v>203</v>
      </c>
      <c r="C6" s="74" t="s">
        <v>204</v>
      </c>
      <c r="D6" s="74"/>
      <c r="E6" s="74"/>
      <c r="F6" s="78" t="s">
        <v>205</v>
      </c>
      <c r="G6" s="79"/>
      <c r="H6" s="86" t="s">
        <v>206</v>
      </c>
      <c r="I6" s="86"/>
      <c r="J6" s="11"/>
      <c r="K6" s="87">
        <f>COUNTA(B10:B18)</f>
        <v>9</v>
      </c>
      <c r="L6" s="83"/>
      <c r="M6" s="83"/>
      <c r="N6" s="84"/>
      <c r="O6" s="82">
        <f>SUM(F10:F17)</f>
        <v>18</v>
      </c>
      <c r="P6" s="83"/>
      <c r="Q6" s="83"/>
      <c r="R6" s="84"/>
      <c r="S6" s="82">
        <f>F18</f>
        <v>4</v>
      </c>
      <c r="T6" s="83"/>
      <c r="U6" s="83"/>
      <c r="V6" s="84"/>
      <c r="W6" s="82">
        <f>SUM(F10:F18)</f>
        <v>22</v>
      </c>
      <c r="X6" s="83"/>
      <c r="Y6" s="83"/>
      <c r="Z6" s="84"/>
      <c r="AA6" s="85">
        <f>SUM(I10:I18)</f>
        <v>330</v>
      </c>
      <c r="AB6" s="83"/>
      <c r="AC6" s="83"/>
      <c r="AD6" s="84"/>
      <c r="AE6" s="10"/>
      <c r="AF6" s="10"/>
    </row>
    <row r="7" spans="2:32" x14ac:dyDescent="0.25">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0"/>
      <c r="AF7" s="10"/>
    </row>
    <row r="8" spans="2:32" ht="22" customHeight="1" x14ac:dyDescent="0.25">
      <c r="B8" s="71" t="s">
        <v>207</v>
      </c>
      <c r="C8" s="71"/>
      <c r="D8" s="71"/>
      <c r="E8" s="71"/>
      <c r="F8" s="71"/>
      <c r="G8" s="71"/>
      <c r="H8" s="71"/>
      <c r="I8" s="71"/>
      <c r="J8" s="11"/>
      <c r="K8" s="71" t="s">
        <v>208</v>
      </c>
      <c r="L8" s="71"/>
      <c r="M8" s="71"/>
      <c r="N8" s="71"/>
      <c r="O8" s="71"/>
      <c r="P8" s="71"/>
      <c r="Q8" s="71"/>
      <c r="R8" s="71"/>
      <c r="S8" s="71"/>
      <c r="T8" s="71"/>
      <c r="U8" s="71"/>
      <c r="V8" s="71"/>
      <c r="W8" s="71"/>
      <c r="X8" s="71"/>
      <c r="Y8" s="71"/>
      <c r="Z8" s="71"/>
      <c r="AA8" s="71"/>
      <c r="AB8" s="71"/>
      <c r="AC8" s="71"/>
      <c r="AD8" s="71"/>
      <c r="AE8" s="81"/>
      <c r="AF8" s="81"/>
    </row>
    <row r="9" spans="2:32" ht="24" customHeight="1" x14ac:dyDescent="0.3">
      <c r="B9" s="22" t="s">
        <v>209</v>
      </c>
      <c r="C9" s="22" t="s">
        <v>210</v>
      </c>
      <c r="D9" s="22" t="s">
        <v>211</v>
      </c>
      <c r="E9" s="22" t="s">
        <v>212</v>
      </c>
      <c r="F9" s="22" t="s">
        <v>213</v>
      </c>
      <c r="G9" s="22" t="s">
        <v>214</v>
      </c>
      <c r="H9" s="22" t="s">
        <v>215</v>
      </c>
      <c r="I9" s="22" t="s">
        <v>216</v>
      </c>
      <c r="J9" s="11"/>
      <c r="K9" s="23">
        <v>1</v>
      </c>
      <c r="L9" s="23">
        <v>2</v>
      </c>
      <c r="M9" s="23">
        <v>3</v>
      </c>
      <c r="N9" s="23">
        <v>4</v>
      </c>
      <c r="O9" s="23">
        <v>5</v>
      </c>
      <c r="P9" s="23">
        <v>6</v>
      </c>
      <c r="Q9" s="23">
        <v>7</v>
      </c>
      <c r="R9" s="23">
        <v>8</v>
      </c>
      <c r="S9" s="23">
        <v>9</v>
      </c>
      <c r="T9" s="23">
        <v>10</v>
      </c>
      <c r="U9" s="23">
        <v>11</v>
      </c>
      <c r="V9" s="23">
        <v>12</v>
      </c>
      <c r="W9" s="23">
        <v>13</v>
      </c>
      <c r="X9" s="23">
        <v>14</v>
      </c>
      <c r="Y9" s="23">
        <v>15</v>
      </c>
      <c r="Z9" s="23">
        <v>16</v>
      </c>
      <c r="AA9" s="23">
        <v>17</v>
      </c>
      <c r="AB9" s="23">
        <v>18</v>
      </c>
      <c r="AC9" s="23">
        <v>19</v>
      </c>
      <c r="AD9" s="23">
        <v>20</v>
      </c>
      <c r="AE9" s="24">
        <v>21</v>
      </c>
      <c r="AF9" s="24">
        <v>22</v>
      </c>
    </row>
    <row r="10" spans="2:32" ht="40.5" customHeight="1" x14ac:dyDescent="0.25">
      <c r="B10" s="25" t="s">
        <v>217</v>
      </c>
      <c r="C10" s="26" t="s">
        <v>218</v>
      </c>
      <c r="D10" s="27" t="s">
        <v>219</v>
      </c>
      <c r="E10" s="27"/>
      <c r="F10" s="28">
        <v>1</v>
      </c>
      <c r="G10" s="29">
        <f>1</f>
        <v>1</v>
      </c>
      <c r="H10" s="29">
        <f t="shared" ref="H10:H18" si="0">G10+F10-1</f>
        <v>1</v>
      </c>
      <c r="I10" s="30">
        <f t="shared" ref="I10:I39" si="1">F10*$C$5</f>
        <v>15</v>
      </c>
      <c r="J10" s="11"/>
      <c r="K10" s="13">
        <f t="shared" ref="K10:T18" si="2">IF(AND(K$9&gt;=$G10,K$9&lt;=$H10),1,"")</f>
        <v>1</v>
      </c>
      <c r="L10" s="14" t="str">
        <f t="shared" si="2"/>
        <v/>
      </c>
      <c r="M10" s="13" t="str">
        <f t="shared" si="2"/>
        <v/>
      </c>
      <c r="N10" s="14" t="str">
        <f t="shared" si="2"/>
        <v/>
      </c>
      <c r="O10" s="13" t="str">
        <f t="shared" si="2"/>
        <v/>
      </c>
      <c r="P10" s="14" t="str">
        <f t="shared" si="2"/>
        <v/>
      </c>
      <c r="Q10" s="13" t="str">
        <f t="shared" si="2"/>
        <v/>
      </c>
      <c r="R10" s="14" t="str">
        <f t="shared" si="2"/>
        <v/>
      </c>
      <c r="S10" s="13" t="str">
        <f t="shared" si="2"/>
        <v/>
      </c>
      <c r="T10" s="14" t="str">
        <f t="shared" si="2"/>
        <v/>
      </c>
      <c r="U10" s="13" t="str">
        <f t="shared" ref="U10:AF18" si="3">IF(AND(U$9&gt;=$G10,U$9&lt;=$H10),1,"")</f>
        <v/>
      </c>
      <c r="V10" s="14" t="str">
        <f t="shared" si="3"/>
        <v/>
      </c>
      <c r="W10" s="13" t="str">
        <f t="shared" si="3"/>
        <v/>
      </c>
      <c r="X10" s="14" t="str">
        <f t="shared" si="3"/>
        <v/>
      </c>
      <c r="Y10" s="13" t="str">
        <f t="shared" si="3"/>
        <v/>
      </c>
      <c r="Z10" s="14" t="str">
        <f t="shared" si="3"/>
        <v/>
      </c>
      <c r="AA10" s="13" t="str">
        <f t="shared" si="3"/>
        <v/>
      </c>
      <c r="AB10" s="14" t="str">
        <f t="shared" si="3"/>
        <v/>
      </c>
      <c r="AC10" s="13" t="str">
        <f t="shared" si="3"/>
        <v/>
      </c>
      <c r="AD10" s="14" t="str">
        <f t="shared" si="3"/>
        <v/>
      </c>
      <c r="AE10" s="15" t="str">
        <f t="shared" si="3"/>
        <v/>
      </c>
      <c r="AF10" s="15" t="str">
        <f t="shared" si="3"/>
        <v/>
      </c>
    </row>
    <row r="11" spans="2:32" ht="40.5" customHeight="1" x14ac:dyDescent="0.25">
      <c r="B11" s="31" t="s">
        <v>220</v>
      </c>
      <c r="C11" s="32" t="s">
        <v>221</v>
      </c>
      <c r="D11" s="33" t="s">
        <v>219</v>
      </c>
      <c r="E11" s="33"/>
      <c r="F11" s="28">
        <v>2</v>
      </c>
      <c r="G11" s="34">
        <f t="shared" ref="G11:G18" si="4">H10+1</f>
        <v>2</v>
      </c>
      <c r="H11" s="34">
        <f t="shared" si="0"/>
        <v>3</v>
      </c>
      <c r="I11" s="30">
        <f t="shared" si="1"/>
        <v>30</v>
      </c>
      <c r="J11" s="11"/>
      <c r="K11" s="13" t="str">
        <f t="shared" si="2"/>
        <v/>
      </c>
      <c r="L11" s="14">
        <f t="shared" si="2"/>
        <v>1</v>
      </c>
      <c r="M11" s="13">
        <f t="shared" si="2"/>
        <v>1</v>
      </c>
      <c r="N11" s="14" t="str">
        <f t="shared" si="2"/>
        <v/>
      </c>
      <c r="O11" s="13" t="str">
        <f t="shared" si="2"/>
        <v/>
      </c>
      <c r="P11" s="14" t="str">
        <f t="shared" si="2"/>
        <v/>
      </c>
      <c r="Q11" s="13" t="str">
        <f t="shared" si="2"/>
        <v/>
      </c>
      <c r="R11" s="14" t="str">
        <f t="shared" si="2"/>
        <v/>
      </c>
      <c r="S11" s="13" t="str">
        <f t="shared" si="2"/>
        <v/>
      </c>
      <c r="T11" s="14" t="str">
        <f t="shared" si="2"/>
        <v/>
      </c>
      <c r="U11" s="13" t="str">
        <f t="shared" si="3"/>
        <v/>
      </c>
      <c r="V11" s="14" t="str">
        <f t="shared" si="3"/>
        <v/>
      </c>
      <c r="W11" s="13" t="str">
        <f t="shared" si="3"/>
        <v/>
      </c>
      <c r="X11" s="14" t="str">
        <f t="shared" si="3"/>
        <v/>
      </c>
      <c r="Y11" s="13" t="str">
        <f t="shared" si="3"/>
        <v/>
      </c>
      <c r="Z11" s="14" t="str">
        <f t="shared" si="3"/>
        <v/>
      </c>
      <c r="AA11" s="13" t="str">
        <f t="shared" si="3"/>
        <v/>
      </c>
      <c r="AB11" s="14" t="str">
        <f t="shared" si="3"/>
        <v/>
      </c>
      <c r="AC11" s="13" t="str">
        <f t="shared" si="3"/>
        <v/>
      </c>
      <c r="AD11" s="14" t="str">
        <f t="shared" si="3"/>
        <v/>
      </c>
      <c r="AE11" s="15" t="str">
        <f t="shared" si="3"/>
        <v/>
      </c>
      <c r="AF11" s="15" t="str">
        <f t="shared" si="3"/>
        <v/>
      </c>
    </row>
    <row r="12" spans="2:32" ht="40.5" customHeight="1" x14ac:dyDescent="0.25">
      <c r="B12" s="25" t="s">
        <v>222</v>
      </c>
      <c r="C12" s="26" t="s">
        <v>223</v>
      </c>
      <c r="D12" s="27" t="s">
        <v>219</v>
      </c>
      <c r="E12" s="27"/>
      <c r="F12" s="28">
        <v>2</v>
      </c>
      <c r="G12" s="29">
        <f t="shared" si="4"/>
        <v>4</v>
      </c>
      <c r="H12" s="29">
        <f t="shared" si="0"/>
        <v>5</v>
      </c>
      <c r="I12" s="30">
        <f t="shared" si="1"/>
        <v>30</v>
      </c>
      <c r="J12" s="11"/>
      <c r="K12" s="13" t="str">
        <f t="shared" si="2"/>
        <v/>
      </c>
      <c r="L12" s="14" t="str">
        <f t="shared" si="2"/>
        <v/>
      </c>
      <c r="M12" s="13" t="str">
        <f t="shared" si="2"/>
        <v/>
      </c>
      <c r="N12" s="14">
        <f t="shared" si="2"/>
        <v>1</v>
      </c>
      <c r="O12" s="13">
        <f t="shared" si="2"/>
        <v>1</v>
      </c>
      <c r="P12" s="14" t="str">
        <f t="shared" si="2"/>
        <v/>
      </c>
      <c r="Q12" s="13" t="str">
        <f t="shared" si="2"/>
        <v/>
      </c>
      <c r="R12" s="14" t="str">
        <f t="shared" si="2"/>
        <v/>
      </c>
      <c r="S12" s="13" t="str">
        <f t="shared" si="2"/>
        <v/>
      </c>
      <c r="T12" s="14" t="str">
        <f t="shared" si="2"/>
        <v/>
      </c>
      <c r="U12" s="13" t="str">
        <f t="shared" si="3"/>
        <v/>
      </c>
      <c r="V12" s="14" t="str">
        <f t="shared" si="3"/>
        <v/>
      </c>
      <c r="W12" s="13" t="str">
        <f t="shared" si="3"/>
        <v/>
      </c>
      <c r="X12" s="14" t="str">
        <f t="shared" si="3"/>
        <v/>
      </c>
      <c r="Y12" s="13" t="str">
        <f t="shared" si="3"/>
        <v/>
      </c>
      <c r="Z12" s="14" t="str">
        <f t="shared" si="3"/>
        <v/>
      </c>
      <c r="AA12" s="13" t="str">
        <f t="shared" si="3"/>
        <v/>
      </c>
      <c r="AB12" s="14" t="str">
        <f t="shared" si="3"/>
        <v/>
      </c>
      <c r="AC12" s="13" t="str">
        <f t="shared" si="3"/>
        <v/>
      </c>
      <c r="AD12" s="14" t="str">
        <f t="shared" si="3"/>
        <v/>
      </c>
      <c r="AE12" s="15" t="str">
        <f t="shared" si="3"/>
        <v/>
      </c>
      <c r="AF12" s="15" t="str">
        <f t="shared" si="3"/>
        <v/>
      </c>
    </row>
    <row r="13" spans="2:32" ht="40.5" customHeight="1" x14ac:dyDescent="0.25">
      <c r="B13" s="31" t="s">
        <v>224</v>
      </c>
      <c r="C13" s="32" t="s">
        <v>225</v>
      </c>
      <c r="D13" s="33" t="s">
        <v>219</v>
      </c>
      <c r="E13" s="33"/>
      <c r="F13" s="28">
        <v>2</v>
      </c>
      <c r="G13" s="34">
        <f t="shared" si="4"/>
        <v>6</v>
      </c>
      <c r="H13" s="34">
        <f t="shared" si="0"/>
        <v>7</v>
      </c>
      <c r="I13" s="30">
        <f t="shared" si="1"/>
        <v>30</v>
      </c>
      <c r="J13" s="11"/>
      <c r="K13" s="13" t="str">
        <f t="shared" si="2"/>
        <v/>
      </c>
      <c r="L13" s="14" t="str">
        <f t="shared" si="2"/>
        <v/>
      </c>
      <c r="M13" s="13" t="str">
        <f t="shared" si="2"/>
        <v/>
      </c>
      <c r="N13" s="14" t="str">
        <f t="shared" si="2"/>
        <v/>
      </c>
      <c r="O13" s="13" t="str">
        <f t="shared" si="2"/>
        <v/>
      </c>
      <c r="P13" s="14">
        <f t="shared" si="2"/>
        <v>1</v>
      </c>
      <c r="Q13" s="13">
        <f t="shared" si="2"/>
        <v>1</v>
      </c>
      <c r="R13" s="14" t="str">
        <f t="shared" si="2"/>
        <v/>
      </c>
      <c r="S13" s="13" t="str">
        <f t="shared" si="2"/>
        <v/>
      </c>
      <c r="T13" s="14" t="str">
        <f t="shared" si="2"/>
        <v/>
      </c>
      <c r="U13" s="13" t="str">
        <f t="shared" si="3"/>
        <v/>
      </c>
      <c r="V13" s="14" t="str">
        <f t="shared" si="3"/>
        <v/>
      </c>
      <c r="W13" s="13" t="str">
        <f t="shared" si="3"/>
        <v/>
      </c>
      <c r="X13" s="14" t="str">
        <f t="shared" si="3"/>
        <v/>
      </c>
      <c r="Y13" s="13" t="str">
        <f t="shared" si="3"/>
        <v/>
      </c>
      <c r="Z13" s="14" t="str">
        <f t="shared" si="3"/>
        <v/>
      </c>
      <c r="AA13" s="13" t="str">
        <f t="shared" si="3"/>
        <v/>
      </c>
      <c r="AB13" s="14" t="str">
        <f t="shared" si="3"/>
        <v/>
      </c>
      <c r="AC13" s="13" t="str">
        <f t="shared" si="3"/>
        <v/>
      </c>
      <c r="AD13" s="14" t="str">
        <f t="shared" si="3"/>
        <v/>
      </c>
      <c r="AE13" s="15" t="str">
        <f t="shared" si="3"/>
        <v/>
      </c>
      <c r="AF13" s="15" t="str">
        <f t="shared" si="3"/>
        <v/>
      </c>
    </row>
    <row r="14" spans="2:32" ht="40.5" customHeight="1" x14ac:dyDescent="0.25">
      <c r="B14" s="25" t="s">
        <v>226</v>
      </c>
      <c r="C14" s="26" t="s">
        <v>227</v>
      </c>
      <c r="D14" s="27" t="s">
        <v>219</v>
      </c>
      <c r="E14" s="27"/>
      <c r="F14" s="28">
        <v>6</v>
      </c>
      <c r="G14" s="29">
        <f t="shared" si="4"/>
        <v>8</v>
      </c>
      <c r="H14" s="29">
        <f t="shared" si="0"/>
        <v>13</v>
      </c>
      <c r="I14" s="30">
        <f t="shared" si="1"/>
        <v>90</v>
      </c>
      <c r="J14" s="11"/>
      <c r="K14" s="13" t="str">
        <f t="shared" si="2"/>
        <v/>
      </c>
      <c r="L14" s="14" t="str">
        <f t="shared" si="2"/>
        <v/>
      </c>
      <c r="M14" s="13" t="str">
        <f t="shared" si="2"/>
        <v/>
      </c>
      <c r="N14" s="14" t="str">
        <f t="shared" si="2"/>
        <v/>
      </c>
      <c r="O14" s="13" t="str">
        <f t="shared" si="2"/>
        <v/>
      </c>
      <c r="P14" s="14" t="str">
        <f t="shared" si="2"/>
        <v/>
      </c>
      <c r="Q14" s="13" t="str">
        <f t="shared" si="2"/>
        <v/>
      </c>
      <c r="R14" s="14">
        <f t="shared" si="2"/>
        <v>1</v>
      </c>
      <c r="S14" s="13">
        <f t="shared" si="2"/>
        <v>1</v>
      </c>
      <c r="T14" s="14">
        <f t="shared" si="2"/>
        <v>1</v>
      </c>
      <c r="U14" s="13">
        <f t="shared" si="3"/>
        <v>1</v>
      </c>
      <c r="V14" s="14">
        <f t="shared" si="3"/>
        <v>1</v>
      </c>
      <c r="W14" s="13">
        <f t="shared" si="3"/>
        <v>1</v>
      </c>
      <c r="X14" s="14" t="str">
        <f t="shared" si="3"/>
        <v/>
      </c>
      <c r="Y14" s="13" t="str">
        <f t="shared" si="3"/>
        <v/>
      </c>
      <c r="Z14" s="14" t="str">
        <f t="shared" si="3"/>
        <v/>
      </c>
      <c r="AA14" s="13" t="str">
        <f t="shared" si="3"/>
        <v/>
      </c>
      <c r="AB14" s="14" t="str">
        <f t="shared" si="3"/>
        <v/>
      </c>
      <c r="AC14" s="13" t="str">
        <f t="shared" si="3"/>
        <v/>
      </c>
      <c r="AD14" s="14" t="str">
        <f t="shared" si="3"/>
        <v/>
      </c>
      <c r="AE14" s="15" t="str">
        <f t="shared" si="3"/>
        <v/>
      </c>
      <c r="AF14" s="15" t="str">
        <f t="shared" si="3"/>
        <v/>
      </c>
    </row>
    <row r="15" spans="2:32" ht="40.5" customHeight="1" x14ac:dyDescent="0.25">
      <c r="B15" s="31" t="s">
        <v>228</v>
      </c>
      <c r="C15" s="32" t="s">
        <v>229</v>
      </c>
      <c r="D15" s="33" t="s">
        <v>219</v>
      </c>
      <c r="E15" s="33"/>
      <c r="F15" s="28">
        <v>2</v>
      </c>
      <c r="G15" s="34">
        <f t="shared" si="4"/>
        <v>14</v>
      </c>
      <c r="H15" s="34">
        <f t="shared" si="0"/>
        <v>15</v>
      </c>
      <c r="I15" s="30">
        <f t="shared" si="1"/>
        <v>30</v>
      </c>
      <c r="J15" s="11"/>
      <c r="K15" s="13" t="str">
        <f t="shared" si="2"/>
        <v/>
      </c>
      <c r="L15" s="14" t="str">
        <f t="shared" si="2"/>
        <v/>
      </c>
      <c r="M15" s="13" t="str">
        <f t="shared" si="2"/>
        <v/>
      </c>
      <c r="N15" s="14" t="str">
        <f t="shared" si="2"/>
        <v/>
      </c>
      <c r="O15" s="13" t="str">
        <f t="shared" si="2"/>
        <v/>
      </c>
      <c r="P15" s="14" t="str">
        <f t="shared" si="2"/>
        <v/>
      </c>
      <c r="Q15" s="13" t="str">
        <f t="shared" si="2"/>
        <v/>
      </c>
      <c r="R15" s="14" t="str">
        <f t="shared" si="2"/>
        <v/>
      </c>
      <c r="S15" s="13" t="str">
        <f t="shared" si="2"/>
        <v/>
      </c>
      <c r="T15" s="14" t="str">
        <f t="shared" si="2"/>
        <v/>
      </c>
      <c r="U15" s="13" t="str">
        <f t="shared" si="3"/>
        <v/>
      </c>
      <c r="V15" s="14" t="str">
        <f t="shared" si="3"/>
        <v/>
      </c>
      <c r="W15" s="13" t="str">
        <f t="shared" si="3"/>
        <v/>
      </c>
      <c r="X15" s="14">
        <f t="shared" si="3"/>
        <v>1</v>
      </c>
      <c r="Y15" s="13">
        <f t="shared" si="3"/>
        <v>1</v>
      </c>
      <c r="Z15" s="14" t="str">
        <f t="shared" si="3"/>
        <v/>
      </c>
      <c r="AA15" s="13" t="str">
        <f t="shared" si="3"/>
        <v/>
      </c>
      <c r="AB15" s="14" t="str">
        <f t="shared" si="3"/>
        <v/>
      </c>
      <c r="AC15" s="13" t="str">
        <f t="shared" si="3"/>
        <v/>
      </c>
      <c r="AD15" s="14" t="str">
        <f t="shared" si="3"/>
        <v/>
      </c>
      <c r="AE15" s="15" t="str">
        <f t="shared" si="3"/>
        <v/>
      </c>
      <c r="AF15" s="15" t="str">
        <f t="shared" si="3"/>
        <v/>
      </c>
    </row>
    <row r="16" spans="2:32" ht="40.5" customHeight="1" x14ac:dyDescent="0.25">
      <c r="B16" s="25" t="s">
        <v>230</v>
      </c>
      <c r="C16" s="26" t="s">
        <v>231</v>
      </c>
      <c r="D16" s="27" t="s">
        <v>219</v>
      </c>
      <c r="E16" s="27"/>
      <c r="F16" s="28">
        <v>2</v>
      </c>
      <c r="G16" s="29">
        <f t="shared" si="4"/>
        <v>16</v>
      </c>
      <c r="H16" s="29">
        <f t="shared" si="0"/>
        <v>17</v>
      </c>
      <c r="I16" s="30">
        <f t="shared" si="1"/>
        <v>30</v>
      </c>
      <c r="J16" s="11"/>
      <c r="K16" s="13" t="str">
        <f t="shared" si="2"/>
        <v/>
      </c>
      <c r="L16" s="14" t="str">
        <f t="shared" si="2"/>
        <v/>
      </c>
      <c r="M16" s="13" t="str">
        <f t="shared" si="2"/>
        <v/>
      </c>
      <c r="N16" s="14" t="str">
        <f t="shared" si="2"/>
        <v/>
      </c>
      <c r="O16" s="13" t="str">
        <f t="shared" si="2"/>
        <v/>
      </c>
      <c r="P16" s="14" t="str">
        <f t="shared" si="2"/>
        <v/>
      </c>
      <c r="Q16" s="13" t="str">
        <f t="shared" si="2"/>
        <v/>
      </c>
      <c r="R16" s="14" t="str">
        <f t="shared" si="2"/>
        <v/>
      </c>
      <c r="S16" s="13" t="str">
        <f t="shared" si="2"/>
        <v/>
      </c>
      <c r="T16" s="14" t="str">
        <f t="shared" si="2"/>
        <v/>
      </c>
      <c r="U16" s="13" t="str">
        <f t="shared" si="3"/>
        <v/>
      </c>
      <c r="V16" s="14" t="str">
        <f t="shared" si="3"/>
        <v/>
      </c>
      <c r="W16" s="13" t="str">
        <f t="shared" si="3"/>
        <v/>
      </c>
      <c r="X16" s="14" t="str">
        <f t="shared" si="3"/>
        <v/>
      </c>
      <c r="Y16" s="13" t="str">
        <f t="shared" si="3"/>
        <v/>
      </c>
      <c r="Z16" s="14">
        <f t="shared" si="3"/>
        <v>1</v>
      </c>
      <c r="AA16" s="13">
        <f t="shared" si="3"/>
        <v>1</v>
      </c>
      <c r="AB16" s="14" t="str">
        <f t="shared" si="3"/>
        <v/>
      </c>
      <c r="AC16" s="13" t="str">
        <f t="shared" si="3"/>
        <v/>
      </c>
      <c r="AD16" s="14" t="str">
        <f t="shared" si="3"/>
        <v/>
      </c>
      <c r="AE16" s="15" t="str">
        <f t="shared" si="3"/>
        <v/>
      </c>
      <c r="AF16" s="15" t="str">
        <f t="shared" si="3"/>
        <v/>
      </c>
    </row>
    <row r="17" spans="2:32" ht="40.5" customHeight="1" x14ac:dyDescent="0.25">
      <c r="B17" s="31" t="s">
        <v>156</v>
      </c>
      <c r="C17" s="32" t="s">
        <v>232</v>
      </c>
      <c r="D17" s="33" t="s">
        <v>219</v>
      </c>
      <c r="E17" s="33"/>
      <c r="F17" s="28">
        <v>1</v>
      </c>
      <c r="G17" s="34">
        <f t="shared" si="4"/>
        <v>18</v>
      </c>
      <c r="H17" s="34">
        <f t="shared" si="0"/>
        <v>18</v>
      </c>
      <c r="I17" s="30">
        <f t="shared" si="1"/>
        <v>15</v>
      </c>
      <c r="J17" s="11"/>
      <c r="K17" s="13" t="str">
        <f t="shared" si="2"/>
        <v/>
      </c>
      <c r="L17" s="14" t="str">
        <f t="shared" si="2"/>
        <v/>
      </c>
      <c r="M17" s="13" t="str">
        <f t="shared" si="2"/>
        <v/>
      </c>
      <c r="N17" s="14" t="str">
        <f t="shared" si="2"/>
        <v/>
      </c>
      <c r="O17" s="13" t="str">
        <f t="shared" si="2"/>
        <v/>
      </c>
      <c r="P17" s="14" t="str">
        <f t="shared" si="2"/>
        <v/>
      </c>
      <c r="Q17" s="13" t="str">
        <f t="shared" si="2"/>
        <v/>
      </c>
      <c r="R17" s="14" t="str">
        <f t="shared" si="2"/>
        <v/>
      </c>
      <c r="S17" s="13" t="str">
        <f t="shared" si="2"/>
        <v/>
      </c>
      <c r="T17" s="14" t="str">
        <f t="shared" si="2"/>
        <v/>
      </c>
      <c r="U17" s="13" t="str">
        <f t="shared" si="3"/>
        <v/>
      </c>
      <c r="V17" s="14" t="str">
        <f t="shared" si="3"/>
        <v/>
      </c>
      <c r="W17" s="13" t="str">
        <f t="shared" si="3"/>
        <v/>
      </c>
      <c r="X17" s="14" t="str">
        <f t="shared" si="3"/>
        <v/>
      </c>
      <c r="Y17" s="13" t="str">
        <f t="shared" si="3"/>
        <v/>
      </c>
      <c r="Z17" s="14" t="str">
        <f t="shared" si="3"/>
        <v/>
      </c>
      <c r="AA17" s="13" t="str">
        <f t="shared" si="3"/>
        <v/>
      </c>
      <c r="AB17" s="14">
        <f t="shared" si="3"/>
        <v>1</v>
      </c>
      <c r="AC17" s="13" t="str">
        <f t="shared" si="3"/>
        <v/>
      </c>
      <c r="AD17" s="14" t="str">
        <f t="shared" si="3"/>
        <v/>
      </c>
      <c r="AE17" s="15" t="str">
        <f t="shared" si="3"/>
        <v/>
      </c>
      <c r="AF17" s="15" t="str">
        <f t="shared" si="3"/>
        <v/>
      </c>
    </row>
    <row r="18" spans="2:32" ht="40.5" customHeight="1" x14ac:dyDescent="0.25">
      <c r="B18" s="25" t="s">
        <v>233</v>
      </c>
      <c r="C18" s="26" t="s">
        <v>234</v>
      </c>
      <c r="D18" s="27" t="s">
        <v>219</v>
      </c>
      <c r="E18" s="27"/>
      <c r="F18" s="28">
        <v>4</v>
      </c>
      <c r="G18" s="29">
        <f t="shared" si="4"/>
        <v>19</v>
      </c>
      <c r="H18" s="29">
        <f t="shared" si="0"/>
        <v>22</v>
      </c>
      <c r="I18" s="30">
        <f t="shared" si="1"/>
        <v>60</v>
      </c>
      <c r="J18" s="11"/>
      <c r="K18" s="13" t="str">
        <f t="shared" si="2"/>
        <v/>
      </c>
      <c r="L18" s="14" t="str">
        <f t="shared" si="2"/>
        <v/>
      </c>
      <c r="M18" s="13" t="str">
        <f t="shared" si="2"/>
        <v/>
      </c>
      <c r="N18" s="14" t="str">
        <f t="shared" si="2"/>
        <v/>
      </c>
      <c r="O18" s="13" t="str">
        <f t="shared" si="2"/>
        <v/>
      </c>
      <c r="P18" s="14" t="str">
        <f t="shared" si="2"/>
        <v/>
      </c>
      <c r="Q18" s="13" t="str">
        <f t="shared" si="2"/>
        <v/>
      </c>
      <c r="R18" s="14" t="str">
        <f t="shared" si="2"/>
        <v/>
      </c>
      <c r="S18" s="13" t="str">
        <f t="shared" si="2"/>
        <v/>
      </c>
      <c r="T18" s="14" t="str">
        <f t="shared" si="2"/>
        <v/>
      </c>
      <c r="U18" s="13" t="str">
        <f t="shared" si="3"/>
        <v/>
      </c>
      <c r="V18" s="14" t="str">
        <f t="shared" si="3"/>
        <v/>
      </c>
      <c r="W18" s="13" t="str">
        <f t="shared" si="3"/>
        <v/>
      </c>
      <c r="X18" s="14" t="str">
        <f t="shared" si="3"/>
        <v/>
      </c>
      <c r="Y18" s="13" t="str">
        <f t="shared" si="3"/>
        <v/>
      </c>
      <c r="Z18" s="14" t="str">
        <f t="shared" si="3"/>
        <v/>
      </c>
      <c r="AA18" s="13" t="str">
        <f t="shared" si="3"/>
        <v/>
      </c>
      <c r="AB18" s="14" t="str">
        <f t="shared" si="3"/>
        <v/>
      </c>
      <c r="AC18" s="13">
        <f t="shared" si="3"/>
        <v>1</v>
      </c>
      <c r="AD18" s="14">
        <f t="shared" si="3"/>
        <v>1</v>
      </c>
      <c r="AE18" s="15">
        <f t="shared" si="3"/>
        <v>1</v>
      </c>
      <c r="AF18" s="15">
        <f t="shared" si="3"/>
        <v>1</v>
      </c>
    </row>
    <row r="19" spans="2:32" ht="15" customHeight="1" x14ac:dyDescent="0.25">
      <c r="B19" s="31"/>
      <c r="C19" s="32"/>
      <c r="D19" s="33"/>
      <c r="E19" s="33"/>
      <c r="F19" s="34"/>
      <c r="G19" s="34"/>
      <c r="H19" s="34"/>
      <c r="I19" s="30">
        <f t="shared" si="1"/>
        <v>0</v>
      </c>
      <c r="J19" s="11"/>
      <c r="K19" s="13"/>
      <c r="L19" s="14"/>
      <c r="M19" s="13"/>
      <c r="N19" s="14"/>
      <c r="O19" s="13"/>
      <c r="P19" s="14"/>
      <c r="Q19" s="13"/>
      <c r="R19" s="14"/>
      <c r="S19" s="13"/>
      <c r="T19" s="14"/>
      <c r="U19" s="13"/>
      <c r="V19" s="14"/>
      <c r="W19" s="13"/>
      <c r="X19" s="14"/>
      <c r="Y19" s="13"/>
      <c r="Z19" s="14"/>
      <c r="AA19" s="13"/>
      <c r="AB19" s="14"/>
      <c r="AC19" s="13"/>
      <c r="AD19" s="14"/>
      <c r="AE19" s="10"/>
      <c r="AF19" s="10"/>
    </row>
    <row r="20" spans="2:32" ht="15" customHeight="1" x14ac:dyDescent="0.25">
      <c r="B20" s="25"/>
      <c r="C20" s="26"/>
      <c r="D20" s="27"/>
      <c r="E20" s="27"/>
      <c r="F20" s="29"/>
      <c r="G20" s="29"/>
      <c r="H20" s="29"/>
      <c r="I20" s="30">
        <f t="shared" si="1"/>
        <v>0</v>
      </c>
      <c r="J20" s="11"/>
      <c r="K20" s="13" t="str">
        <f t="shared" ref="K20:T29" si="5">IF(OR($G20="",$H20="",$H20&lt;$G20),"",IF(AND(K$9&lt;=$H20,K$9+6&gt;=$G20),1,""))</f>
        <v/>
      </c>
      <c r="L20" s="14" t="str">
        <f t="shared" si="5"/>
        <v/>
      </c>
      <c r="M20" s="13" t="str">
        <f t="shared" si="5"/>
        <v/>
      </c>
      <c r="N20" s="14" t="str">
        <f t="shared" si="5"/>
        <v/>
      </c>
      <c r="O20" s="13" t="str">
        <f t="shared" si="5"/>
        <v/>
      </c>
      <c r="P20" s="14" t="str">
        <f t="shared" si="5"/>
        <v/>
      </c>
      <c r="Q20" s="13" t="str">
        <f t="shared" si="5"/>
        <v/>
      </c>
      <c r="R20" s="14" t="str">
        <f t="shared" si="5"/>
        <v/>
      </c>
      <c r="S20" s="13" t="str">
        <f t="shared" si="5"/>
        <v/>
      </c>
      <c r="T20" s="14" t="str">
        <f t="shared" si="5"/>
        <v/>
      </c>
      <c r="U20" s="13" t="str">
        <f t="shared" ref="U20:AD29" si="6">IF(OR($G20="",$H20="",$H20&lt;$G20),"",IF(AND(U$9&lt;=$H20,U$9+6&gt;=$G20),1,""))</f>
        <v/>
      </c>
      <c r="V20" s="14" t="str">
        <f t="shared" si="6"/>
        <v/>
      </c>
      <c r="W20" s="13" t="str">
        <f t="shared" si="6"/>
        <v/>
      </c>
      <c r="X20" s="14" t="str">
        <f t="shared" si="6"/>
        <v/>
      </c>
      <c r="Y20" s="13" t="str">
        <f t="shared" si="6"/>
        <v/>
      </c>
      <c r="Z20" s="14" t="str">
        <f t="shared" si="6"/>
        <v/>
      </c>
      <c r="AA20" s="13" t="str">
        <f t="shared" si="6"/>
        <v/>
      </c>
      <c r="AB20" s="14" t="str">
        <f t="shared" si="6"/>
        <v/>
      </c>
      <c r="AC20" s="13" t="str">
        <f t="shared" si="6"/>
        <v/>
      </c>
      <c r="AD20" s="14" t="str">
        <f t="shared" si="6"/>
        <v/>
      </c>
      <c r="AE20" s="10"/>
      <c r="AF20" s="10"/>
    </row>
    <row r="21" spans="2:32" ht="22.5" customHeight="1" x14ac:dyDescent="0.25">
      <c r="B21" s="67" t="s">
        <v>235</v>
      </c>
      <c r="C21" s="67"/>
      <c r="D21" s="68"/>
      <c r="E21" s="68"/>
      <c r="F21" s="69"/>
      <c r="G21" s="69"/>
      <c r="H21" s="69"/>
      <c r="I21" s="69">
        <f t="shared" si="1"/>
        <v>0</v>
      </c>
      <c r="J21" s="11"/>
      <c r="K21" s="13" t="str">
        <f t="shared" si="5"/>
        <v/>
      </c>
      <c r="L21" s="14" t="str">
        <f t="shared" si="5"/>
        <v/>
      </c>
      <c r="M21" s="13" t="str">
        <f t="shared" si="5"/>
        <v/>
      </c>
      <c r="N21" s="14" t="str">
        <f t="shared" si="5"/>
        <v/>
      </c>
      <c r="O21" s="13" t="str">
        <f t="shared" si="5"/>
        <v/>
      </c>
      <c r="P21" s="14" t="str">
        <f t="shared" si="5"/>
        <v/>
      </c>
      <c r="Q21" s="13" t="str">
        <f t="shared" si="5"/>
        <v/>
      </c>
      <c r="R21" s="14" t="str">
        <f t="shared" si="5"/>
        <v/>
      </c>
      <c r="S21" s="13" t="str">
        <f t="shared" si="5"/>
        <v/>
      </c>
      <c r="T21" s="14" t="str">
        <f t="shared" si="5"/>
        <v/>
      </c>
      <c r="U21" s="13" t="str">
        <f t="shared" si="6"/>
        <v/>
      </c>
      <c r="V21" s="14" t="str">
        <f t="shared" si="6"/>
        <v/>
      </c>
      <c r="W21" s="13" t="str">
        <f t="shared" si="6"/>
        <v/>
      </c>
      <c r="X21" s="14" t="str">
        <f t="shared" si="6"/>
        <v/>
      </c>
      <c r="Y21" s="13" t="str">
        <f t="shared" si="6"/>
        <v/>
      </c>
      <c r="Z21" s="14" t="str">
        <f t="shared" si="6"/>
        <v/>
      </c>
      <c r="AA21" s="13" t="str">
        <f t="shared" si="6"/>
        <v/>
      </c>
      <c r="AB21" s="14" t="str">
        <f t="shared" si="6"/>
        <v/>
      </c>
      <c r="AC21" s="13" t="str">
        <f t="shared" si="6"/>
        <v/>
      </c>
      <c r="AD21" s="14" t="str">
        <f t="shared" si="6"/>
        <v/>
      </c>
      <c r="AE21" s="10"/>
      <c r="AF21" s="10"/>
    </row>
    <row r="22" spans="2:32" ht="24" customHeight="1" x14ac:dyDescent="0.25">
      <c r="B22" s="58" t="s">
        <v>236</v>
      </c>
      <c r="C22" s="59"/>
      <c r="D22" s="60"/>
      <c r="E22" s="60"/>
      <c r="F22" s="61"/>
      <c r="G22" s="61"/>
      <c r="H22" s="61"/>
      <c r="I22" s="57">
        <f t="shared" si="1"/>
        <v>0</v>
      </c>
      <c r="J22" s="11"/>
      <c r="K22" s="13" t="str">
        <f t="shared" si="5"/>
        <v/>
      </c>
      <c r="L22" s="14" t="str">
        <f t="shared" si="5"/>
        <v/>
      </c>
      <c r="M22" s="13" t="str">
        <f t="shared" si="5"/>
        <v/>
      </c>
      <c r="N22" s="14" t="str">
        <f t="shared" si="5"/>
        <v/>
      </c>
      <c r="O22" s="13" t="str">
        <f t="shared" si="5"/>
        <v/>
      </c>
      <c r="P22" s="14" t="str">
        <f t="shared" si="5"/>
        <v/>
      </c>
      <c r="Q22" s="13" t="str">
        <f t="shared" si="5"/>
        <v/>
      </c>
      <c r="R22" s="14" t="str">
        <f t="shared" si="5"/>
        <v/>
      </c>
      <c r="S22" s="13" t="str">
        <f t="shared" si="5"/>
        <v/>
      </c>
      <c r="T22" s="14" t="str">
        <f t="shared" si="5"/>
        <v/>
      </c>
      <c r="U22" s="13" t="str">
        <f t="shared" si="6"/>
        <v/>
      </c>
      <c r="V22" s="14" t="str">
        <f t="shared" si="6"/>
        <v/>
      </c>
      <c r="W22" s="13" t="str">
        <f t="shared" si="6"/>
        <v/>
      </c>
      <c r="X22" s="14" t="str">
        <f t="shared" si="6"/>
        <v/>
      </c>
      <c r="Y22" s="13" t="str">
        <f t="shared" si="6"/>
        <v/>
      </c>
      <c r="Z22" s="14" t="str">
        <f t="shared" si="6"/>
        <v/>
      </c>
      <c r="AA22" s="13" t="str">
        <f t="shared" si="6"/>
        <v/>
      </c>
      <c r="AB22" s="14" t="str">
        <f t="shared" si="6"/>
        <v/>
      </c>
      <c r="AC22" s="13" t="str">
        <f t="shared" si="6"/>
        <v/>
      </c>
      <c r="AD22" s="14" t="str">
        <f t="shared" si="6"/>
        <v/>
      </c>
      <c r="AE22" s="10"/>
      <c r="AF22" s="10"/>
    </row>
    <row r="23" spans="2:32" ht="37.5" customHeight="1" x14ac:dyDescent="0.25">
      <c r="B23" s="53" t="s">
        <v>237</v>
      </c>
      <c r="C23" s="54"/>
      <c r="D23" s="55"/>
      <c r="E23" s="55"/>
      <c r="F23" s="56"/>
      <c r="G23" s="56"/>
      <c r="H23" s="56"/>
      <c r="I23" s="57">
        <f t="shared" si="1"/>
        <v>0</v>
      </c>
      <c r="J23" s="11"/>
      <c r="K23" s="13" t="str">
        <f t="shared" si="5"/>
        <v/>
      </c>
      <c r="L23" s="14" t="str">
        <f t="shared" si="5"/>
        <v/>
      </c>
      <c r="M23" s="13" t="str">
        <f t="shared" si="5"/>
        <v/>
      </c>
      <c r="N23" s="14" t="str">
        <f t="shared" si="5"/>
        <v/>
      </c>
      <c r="O23" s="13" t="str">
        <f t="shared" si="5"/>
        <v/>
      </c>
      <c r="P23" s="14" t="str">
        <f t="shared" si="5"/>
        <v/>
      </c>
      <c r="Q23" s="13" t="str">
        <f t="shared" si="5"/>
        <v/>
      </c>
      <c r="R23" s="14" t="str">
        <f t="shared" si="5"/>
        <v/>
      </c>
      <c r="S23" s="13" t="str">
        <f t="shared" si="5"/>
        <v/>
      </c>
      <c r="T23" s="14" t="str">
        <f t="shared" si="5"/>
        <v/>
      </c>
      <c r="U23" s="13" t="str">
        <f t="shared" si="6"/>
        <v/>
      </c>
      <c r="V23" s="14" t="str">
        <f t="shared" si="6"/>
        <v/>
      </c>
      <c r="W23" s="13" t="str">
        <f t="shared" si="6"/>
        <v/>
      </c>
      <c r="X23" s="14" t="str">
        <f t="shared" si="6"/>
        <v/>
      </c>
      <c r="Y23" s="13" t="str">
        <f t="shared" si="6"/>
        <v/>
      </c>
      <c r="Z23" s="14" t="str">
        <f t="shared" si="6"/>
        <v/>
      </c>
      <c r="AA23" s="13" t="str">
        <f t="shared" si="6"/>
        <v/>
      </c>
      <c r="AB23" s="14" t="str">
        <f t="shared" si="6"/>
        <v/>
      </c>
      <c r="AC23" s="13" t="str">
        <f t="shared" si="6"/>
        <v/>
      </c>
      <c r="AD23" s="14" t="str">
        <f t="shared" si="6"/>
        <v/>
      </c>
      <c r="AE23" s="10"/>
      <c r="AF23" s="10"/>
    </row>
    <row r="24" spans="2:32" ht="24" customHeight="1" x14ac:dyDescent="0.25">
      <c r="B24" s="58" t="s">
        <v>238</v>
      </c>
      <c r="C24" s="59"/>
      <c r="D24" s="60"/>
      <c r="E24" s="60"/>
      <c r="F24" s="61"/>
      <c r="G24" s="61"/>
      <c r="H24" s="61"/>
      <c r="I24" s="57">
        <f t="shared" si="1"/>
        <v>0</v>
      </c>
      <c r="J24" s="11"/>
      <c r="K24" s="13" t="str">
        <f t="shared" si="5"/>
        <v/>
      </c>
      <c r="L24" s="14" t="str">
        <f t="shared" si="5"/>
        <v/>
      </c>
      <c r="M24" s="13" t="str">
        <f t="shared" si="5"/>
        <v/>
      </c>
      <c r="N24" s="14" t="str">
        <f t="shared" si="5"/>
        <v/>
      </c>
      <c r="O24" s="13" t="str">
        <f t="shared" si="5"/>
        <v/>
      </c>
      <c r="P24" s="14" t="str">
        <f t="shared" si="5"/>
        <v/>
      </c>
      <c r="Q24" s="13" t="str">
        <f t="shared" si="5"/>
        <v/>
      </c>
      <c r="R24" s="14" t="str">
        <f t="shared" si="5"/>
        <v/>
      </c>
      <c r="S24" s="13" t="str">
        <f t="shared" si="5"/>
        <v/>
      </c>
      <c r="T24" s="14" t="str">
        <f t="shared" si="5"/>
        <v/>
      </c>
      <c r="U24" s="13" t="str">
        <f t="shared" si="6"/>
        <v/>
      </c>
      <c r="V24" s="14" t="str">
        <f t="shared" si="6"/>
        <v/>
      </c>
      <c r="W24" s="13" t="str">
        <f t="shared" si="6"/>
        <v/>
      </c>
      <c r="X24" s="14" t="str">
        <f t="shared" si="6"/>
        <v/>
      </c>
      <c r="Y24" s="13" t="str">
        <f t="shared" si="6"/>
        <v/>
      </c>
      <c r="Z24" s="14" t="str">
        <f t="shared" si="6"/>
        <v/>
      </c>
      <c r="AA24" s="13" t="str">
        <f t="shared" si="6"/>
        <v/>
      </c>
      <c r="AB24" s="14" t="str">
        <f t="shared" si="6"/>
        <v/>
      </c>
      <c r="AC24" s="13" t="str">
        <f t="shared" si="6"/>
        <v/>
      </c>
      <c r="AD24" s="14" t="str">
        <f t="shared" si="6"/>
        <v/>
      </c>
      <c r="AE24" s="10"/>
      <c r="AF24" s="10"/>
    </row>
    <row r="25" spans="2:32" ht="15" customHeight="1" x14ac:dyDescent="0.25">
      <c r="B25" s="31"/>
      <c r="C25" s="32"/>
      <c r="D25" s="33"/>
      <c r="E25" s="33"/>
      <c r="F25" s="34"/>
      <c r="G25" s="34"/>
      <c r="H25" s="34"/>
      <c r="I25" s="30">
        <f t="shared" si="1"/>
        <v>0</v>
      </c>
      <c r="J25" s="11"/>
      <c r="K25" s="13" t="str">
        <f t="shared" si="5"/>
        <v/>
      </c>
      <c r="L25" s="14" t="str">
        <f t="shared" si="5"/>
        <v/>
      </c>
      <c r="M25" s="13" t="str">
        <f t="shared" si="5"/>
        <v/>
      </c>
      <c r="N25" s="14" t="str">
        <f t="shared" si="5"/>
        <v/>
      </c>
      <c r="O25" s="13" t="str">
        <f t="shared" si="5"/>
        <v/>
      </c>
      <c r="P25" s="14" t="str">
        <f t="shared" si="5"/>
        <v/>
      </c>
      <c r="Q25" s="13" t="str">
        <f t="shared" si="5"/>
        <v/>
      </c>
      <c r="R25" s="14" t="str">
        <f t="shared" si="5"/>
        <v/>
      </c>
      <c r="S25" s="13" t="str">
        <f t="shared" si="5"/>
        <v/>
      </c>
      <c r="T25" s="14" t="str">
        <f t="shared" si="5"/>
        <v/>
      </c>
      <c r="U25" s="13" t="str">
        <f t="shared" si="6"/>
        <v/>
      </c>
      <c r="V25" s="14" t="str">
        <f t="shared" si="6"/>
        <v/>
      </c>
      <c r="W25" s="13" t="str">
        <f t="shared" si="6"/>
        <v/>
      </c>
      <c r="X25" s="14" t="str">
        <f t="shared" si="6"/>
        <v/>
      </c>
      <c r="Y25" s="13" t="str">
        <f t="shared" si="6"/>
        <v/>
      </c>
      <c r="Z25" s="14" t="str">
        <f t="shared" si="6"/>
        <v/>
      </c>
      <c r="AA25" s="13" t="str">
        <f t="shared" si="6"/>
        <v/>
      </c>
      <c r="AB25" s="14" t="str">
        <f t="shared" si="6"/>
        <v/>
      </c>
      <c r="AC25" s="13" t="str">
        <f t="shared" si="6"/>
        <v/>
      </c>
      <c r="AD25" s="14" t="str">
        <f t="shared" si="6"/>
        <v/>
      </c>
      <c r="AE25" s="10"/>
      <c r="AF25" s="10"/>
    </row>
    <row r="26" spans="2:32" ht="23.25" customHeight="1" x14ac:dyDescent="0.25">
      <c r="B26" s="62" t="s">
        <v>239</v>
      </c>
      <c r="C26" s="63"/>
      <c r="D26" s="64"/>
      <c r="E26" s="64"/>
      <c r="F26" s="65"/>
      <c r="G26" s="65"/>
      <c r="H26" s="65"/>
      <c r="I26" s="66">
        <f t="shared" si="1"/>
        <v>0</v>
      </c>
      <c r="J26" s="11"/>
      <c r="K26" s="13" t="str">
        <f t="shared" si="5"/>
        <v/>
      </c>
      <c r="L26" s="14" t="str">
        <f t="shared" si="5"/>
        <v/>
      </c>
      <c r="M26" s="13" t="str">
        <f t="shared" si="5"/>
        <v/>
      </c>
      <c r="N26" s="14" t="str">
        <f t="shared" si="5"/>
        <v/>
      </c>
      <c r="O26" s="13" t="str">
        <f t="shared" si="5"/>
        <v/>
      </c>
      <c r="P26" s="14" t="str">
        <f t="shared" si="5"/>
        <v/>
      </c>
      <c r="Q26" s="13" t="str">
        <f t="shared" si="5"/>
        <v/>
      </c>
      <c r="R26" s="14" t="str">
        <f t="shared" si="5"/>
        <v/>
      </c>
      <c r="S26" s="13" t="str">
        <f t="shared" si="5"/>
        <v/>
      </c>
      <c r="T26" s="14" t="str">
        <f t="shared" si="5"/>
        <v/>
      </c>
      <c r="U26" s="13" t="str">
        <f t="shared" si="6"/>
        <v/>
      </c>
      <c r="V26" s="14" t="str">
        <f t="shared" si="6"/>
        <v/>
      </c>
      <c r="W26" s="13" t="str">
        <f t="shared" si="6"/>
        <v/>
      </c>
      <c r="X26" s="14" t="str">
        <f t="shared" si="6"/>
        <v/>
      </c>
      <c r="Y26" s="13" t="str">
        <f t="shared" si="6"/>
        <v/>
      </c>
      <c r="Z26" s="14" t="str">
        <f t="shared" si="6"/>
        <v/>
      </c>
      <c r="AA26" s="13" t="str">
        <f t="shared" si="6"/>
        <v/>
      </c>
      <c r="AB26" s="14" t="str">
        <f t="shared" si="6"/>
        <v/>
      </c>
      <c r="AC26" s="13" t="str">
        <f t="shared" si="6"/>
        <v/>
      </c>
      <c r="AD26" s="14" t="str">
        <f t="shared" si="6"/>
        <v/>
      </c>
      <c r="AE26" s="10"/>
      <c r="AF26" s="10"/>
    </row>
    <row r="27" spans="2:32" ht="37.5" customHeight="1" x14ac:dyDescent="0.25">
      <c r="B27" s="53" t="s">
        <v>240</v>
      </c>
      <c r="C27" s="54"/>
      <c r="D27" s="55"/>
      <c r="E27" s="55"/>
      <c r="F27" s="56"/>
      <c r="G27" s="56"/>
      <c r="H27" s="56"/>
      <c r="I27" s="57">
        <f t="shared" si="1"/>
        <v>0</v>
      </c>
      <c r="J27" s="11"/>
      <c r="K27" s="13" t="str">
        <f t="shared" si="5"/>
        <v/>
      </c>
      <c r="L27" s="14" t="str">
        <f t="shared" si="5"/>
        <v/>
      </c>
      <c r="M27" s="13" t="str">
        <f t="shared" si="5"/>
        <v/>
      </c>
      <c r="N27" s="14" t="str">
        <f t="shared" si="5"/>
        <v/>
      </c>
      <c r="O27" s="13" t="str">
        <f t="shared" si="5"/>
        <v/>
      </c>
      <c r="P27" s="14" t="str">
        <f t="shared" si="5"/>
        <v/>
      </c>
      <c r="Q27" s="13" t="str">
        <f t="shared" si="5"/>
        <v/>
      </c>
      <c r="R27" s="14" t="str">
        <f t="shared" si="5"/>
        <v/>
      </c>
      <c r="S27" s="13" t="str">
        <f t="shared" si="5"/>
        <v/>
      </c>
      <c r="T27" s="14" t="str">
        <f t="shared" si="5"/>
        <v/>
      </c>
      <c r="U27" s="13" t="str">
        <f t="shared" si="6"/>
        <v/>
      </c>
      <c r="V27" s="14" t="str">
        <f t="shared" si="6"/>
        <v/>
      </c>
      <c r="W27" s="13" t="str">
        <f t="shared" si="6"/>
        <v/>
      </c>
      <c r="X27" s="14" t="str">
        <f t="shared" si="6"/>
        <v/>
      </c>
      <c r="Y27" s="13" t="str">
        <f t="shared" si="6"/>
        <v/>
      </c>
      <c r="Z27" s="14" t="str">
        <f t="shared" si="6"/>
        <v/>
      </c>
      <c r="AA27" s="13" t="str">
        <f t="shared" si="6"/>
        <v/>
      </c>
      <c r="AB27" s="14" t="str">
        <f t="shared" si="6"/>
        <v/>
      </c>
      <c r="AC27" s="13" t="str">
        <f t="shared" si="6"/>
        <v/>
      </c>
      <c r="AD27" s="14" t="str">
        <f t="shared" si="6"/>
        <v/>
      </c>
      <c r="AE27" s="10"/>
      <c r="AF27" s="10"/>
    </row>
    <row r="28" spans="2:32" ht="37.5" customHeight="1" x14ac:dyDescent="0.25">
      <c r="B28" s="58" t="s">
        <v>241</v>
      </c>
      <c r="C28" s="59"/>
      <c r="D28" s="60"/>
      <c r="E28" s="60"/>
      <c r="F28" s="61"/>
      <c r="G28" s="61"/>
      <c r="H28" s="61"/>
      <c r="I28" s="57">
        <f t="shared" si="1"/>
        <v>0</v>
      </c>
      <c r="J28" s="11"/>
      <c r="K28" s="13" t="str">
        <f t="shared" si="5"/>
        <v/>
      </c>
      <c r="L28" s="14" t="str">
        <f t="shared" si="5"/>
        <v/>
      </c>
      <c r="M28" s="13" t="str">
        <f t="shared" si="5"/>
        <v/>
      </c>
      <c r="N28" s="14" t="str">
        <f t="shared" si="5"/>
        <v/>
      </c>
      <c r="O28" s="13" t="str">
        <f t="shared" si="5"/>
        <v/>
      </c>
      <c r="P28" s="14" t="str">
        <f t="shared" si="5"/>
        <v/>
      </c>
      <c r="Q28" s="13" t="str">
        <f t="shared" si="5"/>
        <v/>
      </c>
      <c r="R28" s="14" t="str">
        <f t="shared" si="5"/>
        <v/>
      </c>
      <c r="S28" s="13" t="str">
        <f t="shared" si="5"/>
        <v/>
      </c>
      <c r="T28" s="14" t="str">
        <f t="shared" si="5"/>
        <v/>
      </c>
      <c r="U28" s="13" t="str">
        <f t="shared" si="6"/>
        <v/>
      </c>
      <c r="V28" s="14" t="str">
        <f t="shared" si="6"/>
        <v/>
      </c>
      <c r="W28" s="13" t="str">
        <f t="shared" si="6"/>
        <v/>
      </c>
      <c r="X28" s="14" t="str">
        <f t="shared" si="6"/>
        <v/>
      </c>
      <c r="Y28" s="13" t="str">
        <f t="shared" si="6"/>
        <v/>
      </c>
      <c r="Z28" s="14" t="str">
        <f t="shared" si="6"/>
        <v/>
      </c>
      <c r="AA28" s="13" t="str">
        <f t="shared" si="6"/>
        <v/>
      </c>
      <c r="AB28" s="14" t="str">
        <f t="shared" si="6"/>
        <v/>
      </c>
      <c r="AC28" s="13" t="str">
        <f t="shared" si="6"/>
        <v/>
      </c>
      <c r="AD28" s="14" t="str">
        <f t="shared" si="6"/>
        <v/>
      </c>
      <c r="AE28" s="10"/>
      <c r="AF28" s="10"/>
    </row>
    <row r="29" spans="2:32" ht="24" customHeight="1" x14ac:dyDescent="0.25">
      <c r="B29" s="53" t="s">
        <v>242</v>
      </c>
      <c r="C29" s="54"/>
      <c r="D29" s="55"/>
      <c r="E29" s="55"/>
      <c r="F29" s="56"/>
      <c r="G29" s="56"/>
      <c r="H29" s="56"/>
      <c r="I29" s="57">
        <f t="shared" si="1"/>
        <v>0</v>
      </c>
      <c r="J29" s="11"/>
      <c r="K29" s="13" t="str">
        <f t="shared" si="5"/>
        <v/>
      </c>
      <c r="L29" s="14" t="str">
        <f t="shared" si="5"/>
        <v/>
      </c>
      <c r="M29" s="13" t="str">
        <f t="shared" si="5"/>
        <v/>
      </c>
      <c r="N29" s="14" t="str">
        <f t="shared" si="5"/>
        <v/>
      </c>
      <c r="O29" s="13" t="str">
        <f t="shared" si="5"/>
        <v/>
      </c>
      <c r="P29" s="14" t="str">
        <f t="shared" si="5"/>
        <v/>
      </c>
      <c r="Q29" s="13" t="str">
        <f t="shared" si="5"/>
        <v/>
      </c>
      <c r="R29" s="14" t="str">
        <f t="shared" si="5"/>
        <v/>
      </c>
      <c r="S29" s="13" t="str">
        <f t="shared" si="5"/>
        <v/>
      </c>
      <c r="T29" s="14" t="str">
        <f t="shared" si="5"/>
        <v/>
      </c>
      <c r="U29" s="13" t="str">
        <f t="shared" si="6"/>
        <v/>
      </c>
      <c r="V29" s="14" t="str">
        <f t="shared" si="6"/>
        <v/>
      </c>
      <c r="W29" s="13" t="str">
        <f t="shared" si="6"/>
        <v/>
      </c>
      <c r="X29" s="14" t="str">
        <f t="shared" si="6"/>
        <v/>
      </c>
      <c r="Y29" s="13" t="str">
        <f t="shared" si="6"/>
        <v/>
      </c>
      <c r="Z29" s="14" t="str">
        <f t="shared" si="6"/>
        <v/>
      </c>
      <c r="AA29" s="13" t="str">
        <f t="shared" si="6"/>
        <v/>
      </c>
      <c r="AB29" s="14" t="str">
        <f t="shared" si="6"/>
        <v/>
      </c>
      <c r="AC29" s="13" t="str">
        <f t="shared" si="6"/>
        <v/>
      </c>
      <c r="AD29" s="14" t="str">
        <f t="shared" si="6"/>
        <v/>
      </c>
      <c r="AE29" s="10"/>
      <c r="AF29" s="10"/>
    </row>
    <row r="30" spans="2:32" ht="15" customHeight="1" x14ac:dyDescent="0.25">
      <c r="B30" s="25"/>
      <c r="C30" s="26"/>
      <c r="D30" s="27"/>
      <c r="E30" s="27"/>
      <c r="F30" s="29"/>
      <c r="G30" s="29"/>
      <c r="H30" s="29"/>
      <c r="I30" s="30">
        <f t="shared" si="1"/>
        <v>0</v>
      </c>
      <c r="J30" s="11"/>
      <c r="K30" s="13" t="str">
        <f t="shared" ref="K30:T39" si="7">IF(OR($G30="",$H30="",$H30&lt;$G30),"",IF(AND(K$9&lt;=$H30,K$9+6&gt;=$G30),1,""))</f>
        <v/>
      </c>
      <c r="L30" s="14" t="str">
        <f t="shared" si="7"/>
        <v/>
      </c>
      <c r="M30" s="13" t="str">
        <f t="shared" si="7"/>
        <v/>
      </c>
      <c r="N30" s="14" t="str">
        <f t="shared" si="7"/>
        <v/>
      </c>
      <c r="O30" s="13" t="str">
        <f t="shared" si="7"/>
        <v/>
      </c>
      <c r="P30" s="14" t="str">
        <f t="shared" si="7"/>
        <v/>
      </c>
      <c r="Q30" s="13" t="str">
        <f t="shared" si="7"/>
        <v/>
      </c>
      <c r="R30" s="14" t="str">
        <f t="shared" si="7"/>
        <v/>
      </c>
      <c r="S30" s="13" t="str">
        <f t="shared" si="7"/>
        <v/>
      </c>
      <c r="T30" s="14" t="str">
        <f t="shared" si="7"/>
        <v/>
      </c>
      <c r="U30" s="13" t="str">
        <f t="shared" ref="U30:AD39" si="8">IF(OR($G30="",$H30="",$H30&lt;$G30),"",IF(AND(U$9&lt;=$H30,U$9+6&gt;=$G30),1,""))</f>
        <v/>
      </c>
      <c r="V30" s="14" t="str">
        <f t="shared" si="8"/>
        <v/>
      </c>
      <c r="W30" s="13" t="str">
        <f t="shared" si="8"/>
        <v/>
      </c>
      <c r="X30" s="14" t="str">
        <f t="shared" si="8"/>
        <v/>
      </c>
      <c r="Y30" s="13" t="str">
        <f t="shared" si="8"/>
        <v/>
      </c>
      <c r="Z30" s="14" t="str">
        <f t="shared" si="8"/>
        <v/>
      </c>
      <c r="AA30" s="13" t="str">
        <f t="shared" si="8"/>
        <v/>
      </c>
      <c r="AB30" s="14" t="str">
        <f t="shared" si="8"/>
        <v/>
      </c>
      <c r="AC30" s="13" t="str">
        <f t="shared" si="8"/>
        <v/>
      </c>
      <c r="AD30" s="14" t="str">
        <f t="shared" si="8"/>
        <v/>
      </c>
      <c r="AE30" s="10"/>
      <c r="AF30" s="10"/>
    </row>
    <row r="31" spans="2:32" ht="23.25" customHeight="1" x14ac:dyDescent="0.25">
      <c r="B31" s="62" t="s">
        <v>243</v>
      </c>
      <c r="C31" s="63"/>
      <c r="D31" s="64"/>
      <c r="E31" s="64"/>
      <c r="F31" s="65"/>
      <c r="G31" s="65"/>
      <c r="H31" s="65"/>
      <c r="I31" s="66">
        <f t="shared" si="1"/>
        <v>0</v>
      </c>
      <c r="J31" s="11"/>
      <c r="K31" s="13" t="str">
        <f t="shared" si="7"/>
        <v/>
      </c>
      <c r="L31" s="14" t="str">
        <f t="shared" si="7"/>
        <v/>
      </c>
      <c r="M31" s="13" t="str">
        <f t="shared" si="7"/>
        <v/>
      </c>
      <c r="N31" s="14" t="str">
        <f t="shared" si="7"/>
        <v/>
      </c>
      <c r="O31" s="13" t="str">
        <f t="shared" si="7"/>
        <v/>
      </c>
      <c r="P31" s="14" t="str">
        <f t="shared" si="7"/>
        <v/>
      </c>
      <c r="Q31" s="13" t="str">
        <f t="shared" si="7"/>
        <v/>
      </c>
      <c r="R31" s="14" t="str">
        <f t="shared" si="7"/>
        <v/>
      </c>
      <c r="S31" s="13" t="str">
        <f t="shared" si="7"/>
        <v/>
      </c>
      <c r="T31" s="14" t="str">
        <f t="shared" si="7"/>
        <v/>
      </c>
      <c r="U31" s="13" t="str">
        <f t="shared" si="8"/>
        <v/>
      </c>
      <c r="V31" s="14" t="str">
        <f t="shared" si="8"/>
        <v/>
      </c>
      <c r="W31" s="13" t="str">
        <f t="shared" si="8"/>
        <v/>
      </c>
      <c r="X31" s="14" t="str">
        <f t="shared" si="8"/>
        <v/>
      </c>
      <c r="Y31" s="13" t="str">
        <f t="shared" si="8"/>
        <v/>
      </c>
      <c r="Z31" s="14" t="str">
        <f t="shared" si="8"/>
        <v/>
      </c>
      <c r="AA31" s="13" t="str">
        <f t="shared" si="8"/>
        <v/>
      </c>
      <c r="AB31" s="14" t="str">
        <f t="shared" si="8"/>
        <v/>
      </c>
      <c r="AC31" s="13" t="str">
        <f t="shared" si="8"/>
        <v/>
      </c>
      <c r="AD31" s="14" t="str">
        <f t="shared" si="8"/>
        <v/>
      </c>
      <c r="AE31" s="10"/>
      <c r="AF31" s="10"/>
    </row>
    <row r="32" spans="2:32" ht="31.5" customHeight="1" x14ac:dyDescent="0.25">
      <c r="B32" s="35" t="s">
        <v>217</v>
      </c>
      <c r="C32" s="46" t="s">
        <v>244</v>
      </c>
      <c r="D32" s="47"/>
      <c r="E32" s="47"/>
      <c r="F32" s="48"/>
      <c r="G32" s="48"/>
      <c r="H32" s="48"/>
      <c r="I32" s="48">
        <f t="shared" si="1"/>
        <v>0</v>
      </c>
      <c r="J32" s="11"/>
      <c r="K32" s="13" t="str">
        <f t="shared" si="7"/>
        <v/>
      </c>
      <c r="L32" s="14" t="str">
        <f t="shared" si="7"/>
        <v/>
      </c>
      <c r="M32" s="13" t="str">
        <f t="shared" si="7"/>
        <v/>
      </c>
      <c r="N32" s="14" t="str">
        <f t="shared" si="7"/>
        <v/>
      </c>
      <c r="O32" s="13" t="str">
        <f t="shared" si="7"/>
        <v/>
      </c>
      <c r="P32" s="14" t="str">
        <f t="shared" si="7"/>
        <v/>
      </c>
      <c r="Q32" s="13" t="str">
        <f t="shared" si="7"/>
        <v/>
      </c>
      <c r="R32" s="14" t="str">
        <f t="shared" si="7"/>
        <v/>
      </c>
      <c r="S32" s="13" t="str">
        <f t="shared" si="7"/>
        <v/>
      </c>
      <c r="T32" s="14" t="str">
        <f t="shared" si="7"/>
        <v/>
      </c>
      <c r="U32" s="13" t="str">
        <f t="shared" si="8"/>
        <v/>
      </c>
      <c r="V32" s="14" t="str">
        <f t="shared" si="8"/>
        <v/>
      </c>
      <c r="W32" s="13" t="str">
        <f t="shared" si="8"/>
        <v/>
      </c>
      <c r="X32" s="14" t="str">
        <f t="shared" si="8"/>
        <v/>
      </c>
      <c r="Y32" s="13" t="str">
        <f t="shared" si="8"/>
        <v/>
      </c>
      <c r="Z32" s="14" t="str">
        <f t="shared" si="8"/>
        <v/>
      </c>
      <c r="AA32" s="13" t="str">
        <f t="shared" si="8"/>
        <v/>
      </c>
      <c r="AB32" s="14" t="str">
        <f t="shared" si="8"/>
        <v/>
      </c>
      <c r="AC32" s="13" t="str">
        <f t="shared" si="8"/>
        <v/>
      </c>
      <c r="AD32" s="14" t="str">
        <f t="shared" si="8"/>
        <v/>
      </c>
      <c r="AE32" s="10"/>
      <c r="AF32" s="10"/>
    </row>
    <row r="33" spans="2:32" ht="31.5" customHeight="1" x14ac:dyDescent="0.25">
      <c r="B33" s="36" t="s">
        <v>220</v>
      </c>
      <c r="C33" s="49" t="s">
        <v>245</v>
      </c>
      <c r="D33" s="50"/>
      <c r="E33" s="50"/>
      <c r="F33" s="51"/>
      <c r="G33" s="51"/>
      <c r="H33" s="51"/>
      <c r="I33" s="51">
        <f t="shared" si="1"/>
        <v>0</v>
      </c>
      <c r="J33" s="11"/>
      <c r="K33" s="13" t="str">
        <f t="shared" si="7"/>
        <v/>
      </c>
      <c r="L33" s="14" t="str">
        <f t="shared" si="7"/>
        <v/>
      </c>
      <c r="M33" s="13" t="str">
        <f t="shared" si="7"/>
        <v/>
      </c>
      <c r="N33" s="14" t="str">
        <f t="shared" si="7"/>
        <v/>
      </c>
      <c r="O33" s="13" t="str">
        <f t="shared" si="7"/>
        <v/>
      </c>
      <c r="P33" s="14" t="str">
        <f t="shared" si="7"/>
        <v/>
      </c>
      <c r="Q33" s="13" t="str">
        <f t="shared" si="7"/>
        <v/>
      </c>
      <c r="R33" s="14" t="str">
        <f t="shared" si="7"/>
        <v/>
      </c>
      <c r="S33" s="13" t="str">
        <f t="shared" si="7"/>
        <v/>
      </c>
      <c r="T33" s="14" t="str">
        <f t="shared" si="7"/>
        <v/>
      </c>
      <c r="U33" s="13" t="str">
        <f t="shared" si="8"/>
        <v/>
      </c>
      <c r="V33" s="14" t="str">
        <f t="shared" si="8"/>
        <v/>
      </c>
      <c r="W33" s="13" t="str">
        <f t="shared" si="8"/>
        <v/>
      </c>
      <c r="X33" s="14" t="str">
        <f t="shared" si="8"/>
        <v/>
      </c>
      <c r="Y33" s="13" t="str">
        <f t="shared" si="8"/>
        <v/>
      </c>
      <c r="Z33" s="14" t="str">
        <f t="shared" si="8"/>
        <v/>
      </c>
      <c r="AA33" s="13" t="str">
        <f t="shared" si="8"/>
        <v/>
      </c>
      <c r="AB33" s="14" t="str">
        <f t="shared" si="8"/>
        <v/>
      </c>
      <c r="AC33" s="13" t="str">
        <f t="shared" si="8"/>
        <v/>
      </c>
      <c r="AD33" s="14" t="str">
        <f t="shared" si="8"/>
        <v/>
      </c>
      <c r="AE33" s="10"/>
      <c r="AF33" s="10"/>
    </row>
    <row r="34" spans="2:32" ht="31.5" customHeight="1" x14ac:dyDescent="0.25">
      <c r="B34" s="35" t="s">
        <v>222</v>
      </c>
      <c r="C34" s="46" t="s">
        <v>246</v>
      </c>
      <c r="D34" s="47"/>
      <c r="E34" s="47"/>
      <c r="F34" s="48"/>
      <c r="G34" s="48"/>
      <c r="H34" s="48"/>
      <c r="I34" s="48">
        <f t="shared" si="1"/>
        <v>0</v>
      </c>
      <c r="J34" s="11"/>
      <c r="K34" s="13" t="str">
        <f t="shared" si="7"/>
        <v/>
      </c>
      <c r="L34" s="14" t="str">
        <f t="shared" si="7"/>
        <v/>
      </c>
      <c r="M34" s="13" t="str">
        <f t="shared" si="7"/>
        <v/>
      </c>
      <c r="N34" s="14" t="str">
        <f t="shared" si="7"/>
        <v/>
      </c>
      <c r="O34" s="13" t="str">
        <f t="shared" si="7"/>
        <v/>
      </c>
      <c r="P34" s="14" t="str">
        <f t="shared" si="7"/>
        <v/>
      </c>
      <c r="Q34" s="13" t="str">
        <f t="shared" si="7"/>
        <v/>
      </c>
      <c r="R34" s="14" t="str">
        <f t="shared" si="7"/>
        <v/>
      </c>
      <c r="S34" s="13" t="str">
        <f t="shared" si="7"/>
        <v/>
      </c>
      <c r="T34" s="14" t="str">
        <f t="shared" si="7"/>
        <v/>
      </c>
      <c r="U34" s="13" t="str">
        <f t="shared" si="8"/>
        <v/>
      </c>
      <c r="V34" s="14" t="str">
        <f t="shared" si="8"/>
        <v/>
      </c>
      <c r="W34" s="13" t="str">
        <f t="shared" si="8"/>
        <v/>
      </c>
      <c r="X34" s="14" t="str">
        <f t="shared" si="8"/>
        <v/>
      </c>
      <c r="Y34" s="13" t="str">
        <f t="shared" si="8"/>
        <v/>
      </c>
      <c r="Z34" s="14" t="str">
        <f t="shared" si="8"/>
        <v/>
      </c>
      <c r="AA34" s="13" t="str">
        <f t="shared" si="8"/>
        <v/>
      </c>
      <c r="AB34" s="14" t="str">
        <f t="shared" si="8"/>
        <v/>
      </c>
      <c r="AC34" s="13" t="str">
        <f t="shared" si="8"/>
        <v/>
      </c>
      <c r="AD34" s="14" t="str">
        <f t="shared" si="8"/>
        <v/>
      </c>
      <c r="AE34" s="10"/>
      <c r="AF34" s="10"/>
    </row>
    <row r="35" spans="2:32" ht="31.5" customHeight="1" x14ac:dyDescent="0.25">
      <c r="B35" s="36" t="s">
        <v>224</v>
      </c>
      <c r="C35" s="49" t="s">
        <v>247</v>
      </c>
      <c r="D35" s="50"/>
      <c r="E35" s="50"/>
      <c r="F35" s="51"/>
      <c r="G35" s="51"/>
      <c r="H35" s="51"/>
      <c r="I35" s="51">
        <f t="shared" si="1"/>
        <v>0</v>
      </c>
      <c r="J35" s="11"/>
      <c r="K35" s="13" t="str">
        <f t="shared" si="7"/>
        <v/>
      </c>
      <c r="L35" s="14" t="str">
        <f t="shared" si="7"/>
        <v/>
      </c>
      <c r="M35" s="13" t="str">
        <f t="shared" si="7"/>
        <v/>
      </c>
      <c r="N35" s="14" t="str">
        <f t="shared" si="7"/>
        <v/>
      </c>
      <c r="O35" s="13" t="str">
        <f t="shared" si="7"/>
        <v/>
      </c>
      <c r="P35" s="14" t="str">
        <f t="shared" si="7"/>
        <v/>
      </c>
      <c r="Q35" s="13" t="str">
        <f t="shared" si="7"/>
        <v/>
      </c>
      <c r="R35" s="14" t="str">
        <f t="shared" si="7"/>
        <v/>
      </c>
      <c r="S35" s="13" t="str">
        <f t="shared" si="7"/>
        <v/>
      </c>
      <c r="T35" s="14" t="str">
        <f t="shared" si="7"/>
        <v/>
      </c>
      <c r="U35" s="13" t="str">
        <f t="shared" si="8"/>
        <v/>
      </c>
      <c r="V35" s="14" t="str">
        <f t="shared" si="8"/>
        <v/>
      </c>
      <c r="W35" s="13" t="str">
        <f t="shared" si="8"/>
        <v/>
      </c>
      <c r="X35" s="14" t="str">
        <f t="shared" si="8"/>
        <v/>
      </c>
      <c r="Y35" s="13" t="str">
        <f t="shared" si="8"/>
        <v/>
      </c>
      <c r="Z35" s="14" t="str">
        <f t="shared" si="8"/>
        <v/>
      </c>
      <c r="AA35" s="13" t="str">
        <f t="shared" si="8"/>
        <v/>
      </c>
      <c r="AB35" s="14" t="str">
        <f t="shared" si="8"/>
        <v/>
      </c>
      <c r="AC35" s="13" t="str">
        <f t="shared" si="8"/>
        <v/>
      </c>
      <c r="AD35" s="14" t="str">
        <f t="shared" si="8"/>
        <v/>
      </c>
      <c r="AE35" s="10"/>
      <c r="AF35" s="10"/>
    </row>
    <row r="36" spans="2:32" ht="31.5" customHeight="1" x14ac:dyDescent="0.25">
      <c r="B36" s="35" t="s">
        <v>226</v>
      </c>
      <c r="C36" s="46" t="s">
        <v>248</v>
      </c>
      <c r="D36" s="47"/>
      <c r="E36" s="47"/>
      <c r="F36" s="48"/>
      <c r="G36" s="48"/>
      <c r="H36" s="48"/>
      <c r="I36" s="48">
        <f t="shared" si="1"/>
        <v>0</v>
      </c>
      <c r="J36" s="11"/>
      <c r="K36" s="13" t="str">
        <f t="shared" si="7"/>
        <v/>
      </c>
      <c r="L36" s="14" t="str">
        <f t="shared" si="7"/>
        <v/>
      </c>
      <c r="M36" s="13" t="str">
        <f t="shared" si="7"/>
        <v/>
      </c>
      <c r="N36" s="14" t="str">
        <f t="shared" si="7"/>
        <v/>
      </c>
      <c r="O36" s="13" t="str">
        <f t="shared" si="7"/>
        <v/>
      </c>
      <c r="P36" s="14" t="str">
        <f t="shared" si="7"/>
        <v/>
      </c>
      <c r="Q36" s="13" t="str">
        <f t="shared" si="7"/>
        <v/>
      </c>
      <c r="R36" s="14" t="str">
        <f t="shared" si="7"/>
        <v/>
      </c>
      <c r="S36" s="13" t="str">
        <f t="shared" si="7"/>
        <v/>
      </c>
      <c r="T36" s="14" t="str">
        <f t="shared" si="7"/>
        <v/>
      </c>
      <c r="U36" s="13" t="str">
        <f t="shared" si="8"/>
        <v/>
      </c>
      <c r="V36" s="14" t="str">
        <f t="shared" si="8"/>
        <v/>
      </c>
      <c r="W36" s="13" t="str">
        <f t="shared" si="8"/>
        <v/>
      </c>
      <c r="X36" s="14" t="str">
        <f t="shared" si="8"/>
        <v/>
      </c>
      <c r="Y36" s="13" t="str">
        <f t="shared" si="8"/>
        <v/>
      </c>
      <c r="Z36" s="14" t="str">
        <f t="shared" si="8"/>
        <v/>
      </c>
      <c r="AA36" s="13" t="str">
        <f t="shared" si="8"/>
        <v/>
      </c>
      <c r="AB36" s="14" t="str">
        <f t="shared" si="8"/>
        <v/>
      </c>
      <c r="AC36" s="13" t="str">
        <f t="shared" si="8"/>
        <v/>
      </c>
      <c r="AD36" s="14" t="str">
        <f t="shared" si="8"/>
        <v/>
      </c>
      <c r="AE36" s="10"/>
      <c r="AF36" s="10"/>
    </row>
    <row r="37" spans="2:32" ht="31.5" customHeight="1" x14ac:dyDescent="0.25">
      <c r="B37" s="36" t="s">
        <v>228</v>
      </c>
      <c r="C37" s="49" t="s">
        <v>249</v>
      </c>
      <c r="D37" s="50"/>
      <c r="E37" s="50"/>
      <c r="F37" s="51"/>
      <c r="G37" s="51"/>
      <c r="H37" s="51"/>
      <c r="I37" s="51">
        <f t="shared" si="1"/>
        <v>0</v>
      </c>
      <c r="J37" s="11"/>
      <c r="K37" s="13" t="str">
        <f t="shared" si="7"/>
        <v/>
      </c>
      <c r="L37" s="14" t="str">
        <f t="shared" si="7"/>
        <v/>
      </c>
      <c r="M37" s="13" t="str">
        <f t="shared" si="7"/>
        <v/>
      </c>
      <c r="N37" s="14" t="str">
        <f t="shared" si="7"/>
        <v/>
      </c>
      <c r="O37" s="13" t="str">
        <f t="shared" si="7"/>
        <v/>
      </c>
      <c r="P37" s="14" t="str">
        <f t="shared" si="7"/>
        <v/>
      </c>
      <c r="Q37" s="13" t="str">
        <f t="shared" si="7"/>
        <v/>
      </c>
      <c r="R37" s="14" t="str">
        <f t="shared" si="7"/>
        <v/>
      </c>
      <c r="S37" s="13" t="str">
        <f t="shared" si="7"/>
        <v/>
      </c>
      <c r="T37" s="14" t="str">
        <f t="shared" si="7"/>
        <v/>
      </c>
      <c r="U37" s="13" t="str">
        <f t="shared" si="8"/>
        <v/>
      </c>
      <c r="V37" s="14" t="str">
        <f t="shared" si="8"/>
        <v/>
      </c>
      <c r="W37" s="13" t="str">
        <f t="shared" si="8"/>
        <v/>
      </c>
      <c r="X37" s="14" t="str">
        <f t="shared" si="8"/>
        <v/>
      </c>
      <c r="Y37" s="13" t="str">
        <f t="shared" si="8"/>
        <v/>
      </c>
      <c r="Z37" s="14" t="str">
        <f t="shared" si="8"/>
        <v/>
      </c>
      <c r="AA37" s="13" t="str">
        <f t="shared" si="8"/>
        <v/>
      </c>
      <c r="AB37" s="14" t="str">
        <f t="shared" si="8"/>
        <v/>
      </c>
      <c r="AC37" s="13" t="str">
        <f t="shared" si="8"/>
        <v/>
      </c>
      <c r="AD37" s="14" t="str">
        <f t="shared" si="8"/>
        <v/>
      </c>
      <c r="AE37" s="10"/>
      <c r="AF37" s="10"/>
    </row>
    <row r="38" spans="2:32" ht="31.5" customHeight="1" x14ac:dyDescent="0.25">
      <c r="B38" s="35" t="s">
        <v>230</v>
      </c>
      <c r="C38" s="46" t="s">
        <v>250</v>
      </c>
      <c r="D38" s="47"/>
      <c r="E38" s="47"/>
      <c r="F38" s="48"/>
      <c r="G38" s="48"/>
      <c r="H38" s="48"/>
      <c r="I38" s="48">
        <f t="shared" si="1"/>
        <v>0</v>
      </c>
      <c r="J38" s="11"/>
      <c r="K38" s="13" t="str">
        <f t="shared" si="7"/>
        <v/>
      </c>
      <c r="L38" s="14" t="str">
        <f t="shared" si="7"/>
        <v/>
      </c>
      <c r="M38" s="13" t="str">
        <f t="shared" si="7"/>
        <v/>
      </c>
      <c r="N38" s="14" t="str">
        <f t="shared" si="7"/>
        <v/>
      </c>
      <c r="O38" s="13" t="str">
        <f t="shared" si="7"/>
        <v/>
      </c>
      <c r="P38" s="14" t="str">
        <f t="shared" si="7"/>
        <v/>
      </c>
      <c r="Q38" s="13" t="str">
        <f t="shared" si="7"/>
        <v/>
      </c>
      <c r="R38" s="14" t="str">
        <f t="shared" si="7"/>
        <v/>
      </c>
      <c r="S38" s="13" t="str">
        <f t="shared" si="7"/>
        <v/>
      </c>
      <c r="T38" s="14" t="str">
        <f t="shared" si="7"/>
        <v/>
      </c>
      <c r="U38" s="13" t="str">
        <f t="shared" si="8"/>
        <v/>
      </c>
      <c r="V38" s="14" t="str">
        <f t="shared" si="8"/>
        <v/>
      </c>
      <c r="W38" s="13" t="str">
        <f t="shared" si="8"/>
        <v/>
      </c>
      <c r="X38" s="14" t="str">
        <f t="shared" si="8"/>
        <v/>
      </c>
      <c r="Y38" s="13" t="str">
        <f t="shared" si="8"/>
        <v/>
      </c>
      <c r="Z38" s="14" t="str">
        <f t="shared" si="8"/>
        <v/>
      </c>
      <c r="AA38" s="13" t="str">
        <f t="shared" si="8"/>
        <v/>
      </c>
      <c r="AB38" s="14" t="str">
        <f t="shared" si="8"/>
        <v/>
      </c>
      <c r="AC38" s="13" t="str">
        <f t="shared" si="8"/>
        <v/>
      </c>
      <c r="AD38" s="14" t="str">
        <f t="shared" si="8"/>
        <v/>
      </c>
      <c r="AE38" s="10"/>
      <c r="AF38" s="10"/>
    </row>
    <row r="39" spans="2:32" ht="31.5" customHeight="1" x14ac:dyDescent="0.25">
      <c r="B39" s="36" t="s">
        <v>156</v>
      </c>
      <c r="C39" s="49" t="s">
        <v>251</v>
      </c>
      <c r="D39" s="50"/>
      <c r="E39" s="50"/>
      <c r="F39" s="51"/>
      <c r="G39" s="51"/>
      <c r="H39" s="51"/>
      <c r="I39" s="51">
        <f t="shared" si="1"/>
        <v>0</v>
      </c>
      <c r="J39" s="11"/>
      <c r="K39" s="13" t="str">
        <f t="shared" si="7"/>
        <v/>
      </c>
      <c r="L39" s="14" t="str">
        <f t="shared" si="7"/>
        <v/>
      </c>
      <c r="M39" s="13" t="str">
        <f t="shared" si="7"/>
        <v/>
      </c>
      <c r="N39" s="14" t="str">
        <f t="shared" si="7"/>
        <v/>
      </c>
      <c r="O39" s="13" t="str">
        <f t="shared" si="7"/>
        <v/>
      </c>
      <c r="P39" s="14" t="str">
        <f t="shared" si="7"/>
        <v/>
      </c>
      <c r="Q39" s="13" t="str">
        <f t="shared" si="7"/>
        <v/>
      </c>
      <c r="R39" s="14" t="str">
        <f t="shared" si="7"/>
        <v/>
      </c>
      <c r="S39" s="13" t="str">
        <f t="shared" si="7"/>
        <v/>
      </c>
      <c r="T39" s="14" t="str">
        <f t="shared" si="7"/>
        <v/>
      </c>
      <c r="U39" s="13" t="str">
        <f t="shared" si="8"/>
        <v/>
      </c>
      <c r="V39" s="14" t="str">
        <f t="shared" si="8"/>
        <v/>
      </c>
      <c r="W39" s="13" t="str">
        <f t="shared" si="8"/>
        <v/>
      </c>
      <c r="X39" s="14" t="str">
        <f t="shared" si="8"/>
        <v/>
      </c>
      <c r="Y39" s="13" t="str">
        <f t="shared" si="8"/>
        <v/>
      </c>
      <c r="Z39" s="14" t="str">
        <f t="shared" si="8"/>
        <v/>
      </c>
      <c r="AA39" s="13" t="str">
        <f t="shared" si="8"/>
        <v/>
      </c>
      <c r="AB39" s="14" t="str">
        <f t="shared" si="8"/>
        <v/>
      </c>
      <c r="AC39" s="13" t="str">
        <f t="shared" si="8"/>
        <v/>
      </c>
      <c r="AD39" s="14" t="str">
        <f t="shared" si="8"/>
        <v/>
      </c>
      <c r="AE39" s="10"/>
      <c r="AF39" s="10"/>
    </row>
    <row r="40" spans="2:32" ht="31.5" customHeight="1" x14ac:dyDescent="0.25">
      <c r="B40" s="37" t="s">
        <v>233</v>
      </c>
      <c r="C40" s="52" t="s">
        <v>252</v>
      </c>
      <c r="D40" s="52"/>
      <c r="E40" s="52"/>
      <c r="F40" s="52"/>
      <c r="G40" s="52"/>
      <c r="H40" s="52"/>
      <c r="I40" s="52"/>
      <c r="J40" s="11"/>
      <c r="K40" s="11"/>
      <c r="L40" s="11"/>
      <c r="M40" s="11"/>
      <c r="N40" s="11"/>
      <c r="O40" s="11"/>
      <c r="P40" s="11"/>
      <c r="Q40" s="11"/>
      <c r="R40" s="11"/>
      <c r="S40" s="11"/>
      <c r="T40" s="11"/>
      <c r="U40" s="11"/>
      <c r="V40" s="11"/>
      <c r="W40" s="11"/>
      <c r="X40" s="11"/>
      <c r="Y40" s="11"/>
      <c r="Z40" s="11"/>
      <c r="AA40" s="11"/>
      <c r="AB40" s="11"/>
      <c r="AC40" s="11"/>
      <c r="AD40" s="11"/>
      <c r="AE40" s="10"/>
      <c r="AF40" s="10"/>
    </row>
    <row r="41" spans="2:32" ht="24" customHeight="1" x14ac:dyDescent="0.25">
      <c r="B41" s="16"/>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8"/>
      <c r="AE41" s="10"/>
      <c r="AF41" s="10"/>
    </row>
    <row r="42" spans="2:32" ht="24" customHeight="1" x14ac:dyDescent="0.25">
      <c r="B42" s="19"/>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1"/>
      <c r="AE42" s="10"/>
      <c r="AF42" s="10"/>
    </row>
  </sheetData>
  <mergeCells count="40">
    <mergeCell ref="B8:I8"/>
    <mergeCell ref="S6:V6"/>
    <mergeCell ref="W5:Z5"/>
    <mergeCell ref="W6:Z6"/>
    <mergeCell ref="AA5:AD5"/>
    <mergeCell ref="AA6:AD6"/>
    <mergeCell ref="C6:E6"/>
    <mergeCell ref="H6:I6"/>
    <mergeCell ref="K5:N5"/>
    <mergeCell ref="K6:N6"/>
    <mergeCell ref="O5:R5"/>
    <mergeCell ref="O6:R6"/>
    <mergeCell ref="F6:G6"/>
    <mergeCell ref="K8:AF8"/>
    <mergeCell ref="B2:R2"/>
    <mergeCell ref="B4:I4"/>
    <mergeCell ref="C5:E5"/>
    <mergeCell ref="H5:I5"/>
    <mergeCell ref="S5:V5"/>
    <mergeCell ref="F5:G5"/>
    <mergeCell ref="S2:AF2"/>
    <mergeCell ref="K4:AF4"/>
    <mergeCell ref="B21:I21"/>
    <mergeCell ref="B22:I22"/>
    <mergeCell ref="B23:I23"/>
    <mergeCell ref="B24:I24"/>
    <mergeCell ref="B26:I26"/>
    <mergeCell ref="B27:I27"/>
    <mergeCell ref="B28:I28"/>
    <mergeCell ref="B29:I29"/>
    <mergeCell ref="B31:I31"/>
    <mergeCell ref="C32:I32"/>
    <mergeCell ref="C38:I38"/>
    <mergeCell ref="C39:I39"/>
    <mergeCell ref="C40:I40"/>
    <mergeCell ref="C33:I33"/>
    <mergeCell ref="C34:I34"/>
    <mergeCell ref="C35:I35"/>
    <mergeCell ref="C36:I36"/>
    <mergeCell ref="C37:I37"/>
  </mergeCells>
  <phoneticPr fontId="12"/>
  <conditionalFormatting sqref="E10:E18">
    <cfRule type="containsText" dxfId="1" priority="2" operator="containsText" text="完了"/>
  </conditionalFormatting>
  <conditionalFormatting sqref="K10:AF18">
    <cfRule type="expression" dxfId="0" priority="1">
      <formula>K10=1</formula>
    </cfRule>
  </conditionalFormatting>
  <dataValidations count="4">
    <dataValidation type="list" sqref="B10:B18" xr:uid="{00000000-0002-0000-0600-000000000000}">
      <formula1>"企画,要件定義,基本設計,詳細設計,実装と単体テスト,結合テスト,総合テストと試行準備,導入と評価,予備"</formula1>
    </dataValidation>
    <dataValidation type="list" sqref="D10:D18" xr:uid="{00000000-0002-0000-0600-000001000000}">
      <formula1>"本人"</formula1>
    </dataValidation>
    <dataValidation type="list" sqref="E10:E18" xr:uid="{00000000-0002-0000-0600-000002000000}">
      <formula1>"未着手,進行中,完了,要対応"</formula1>
    </dataValidation>
    <dataValidation type="whole" operator="greaterThan" sqref="F10:F18" xr:uid="{00000000-0002-0000-0600-000003000000}">
      <formula1>0</formula1>
    </dataValidation>
  </dataValidations>
  <pageMargins left="0.25" right="0.25" top="0.4" bottom="0.4" header="0.2" footer="0.2"/>
  <pageSetup paperSize="8"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F3296"/>
    <pageSetUpPr fitToPage="1"/>
  </sheetPr>
  <dimension ref="B1:C160"/>
  <sheetViews>
    <sheetView showGridLines="0" zoomScale="90" workbookViewId="0">
      <pane ySplit="3" topLeftCell="A4" activePane="bottomLeft" state="frozen"/>
      <selection pane="bottomLeft"/>
    </sheetView>
  </sheetViews>
  <sheetFormatPr defaultRowHeight="14" x14ac:dyDescent="0.3"/>
  <cols>
    <col min="1" max="1" width="2.6640625" customWidth="1"/>
    <col min="2" max="2" width="31.08203125" customWidth="1"/>
    <col min="3" max="3" width="82.25" customWidth="1"/>
  </cols>
  <sheetData>
    <row r="1" spans="2:3" x14ac:dyDescent="0.3">
      <c r="B1" s="3"/>
      <c r="C1" s="3"/>
    </row>
    <row r="2" spans="2:3" ht="27" customHeight="1" x14ac:dyDescent="0.3">
      <c r="B2" s="43" t="s">
        <v>253</v>
      </c>
      <c r="C2" s="43"/>
    </row>
    <row r="3" spans="2:3" ht="21" customHeight="1" x14ac:dyDescent="0.3">
      <c r="B3" s="44" t="s">
        <v>254</v>
      </c>
      <c r="C3" s="44"/>
    </row>
    <row r="4" spans="2:3" x14ac:dyDescent="0.3">
      <c r="B4" s="3"/>
      <c r="C4" s="3"/>
    </row>
    <row r="5" spans="2:3" ht="23.25" customHeight="1" x14ac:dyDescent="0.3">
      <c r="B5" s="39" t="s">
        <v>255</v>
      </c>
      <c r="C5" s="41"/>
    </row>
    <row r="6" spans="2:3" ht="24" customHeight="1" x14ac:dyDescent="0.3">
      <c r="B6" s="5" t="s">
        <v>256</v>
      </c>
      <c r="C6" s="7" t="s">
        <v>257</v>
      </c>
    </row>
    <row r="7" spans="2:3" ht="28.5" customHeight="1" x14ac:dyDescent="0.3">
      <c r="B7" s="8" t="s">
        <v>258</v>
      </c>
      <c r="C7" s="8" t="s">
        <v>259</v>
      </c>
    </row>
    <row r="8" spans="2:3" ht="28.5" customHeight="1" x14ac:dyDescent="0.3">
      <c r="B8" s="9" t="s">
        <v>260</v>
      </c>
      <c r="C8" s="9" t="s">
        <v>261</v>
      </c>
    </row>
    <row r="9" spans="2:3" ht="37.5" customHeight="1" x14ac:dyDescent="0.3">
      <c r="B9" s="8" t="s">
        <v>262</v>
      </c>
      <c r="C9" s="8" t="s">
        <v>263</v>
      </c>
    </row>
    <row r="10" spans="2:3" ht="28.5" customHeight="1" x14ac:dyDescent="0.3">
      <c r="B10" s="9" t="s">
        <v>264</v>
      </c>
      <c r="C10" s="9" t="s">
        <v>265</v>
      </c>
    </row>
    <row r="11" spans="2:3" ht="28.5" customHeight="1" x14ac:dyDescent="0.3">
      <c r="B11" s="8" t="s">
        <v>266</v>
      </c>
      <c r="C11" s="8" t="s">
        <v>267</v>
      </c>
    </row>
    <row r="12" spans="2:3" ht="37.5" customHeight="1" x14ac:dyDescent="0.3">
      <c r="B12" s="9" t="s">
        <v>268</v>
      </c>
      <c r="C12" s="9" t="s">
        <v>269</v>
      </c>
    </row>
    <row r="13" spans="2:3" x14ac:dyDescent="0.3">
      <c r="B13" s="3"/>
      <c r="C13" s="3"/>
    </row>
    <row r="14" spans="2:3" x14ac:dyDescent="0.3">
      <c r="B14" s="3"/>
      <c r="C14" s="3"/>
    </row>
    <row r="15" spans="2:3" ht="23.25" customHeight="1" x14ac:dyDescent="0.3">
      <c r="B15" s="39" t="s">
        <v>270</v>
      </c>
      <c r="C15" s="41"/>
    </row>
    <row r="16" spans="2:3" ht="24" customHeight="1" x14ac:dyDescent="0.3">
      <c r="B16" s="38" t="s">
        <v>271</v>
      </c>
      <c r="C16" s="38"/>
    </row>
    <row r="17" spans="2:3" ht="37.5" customHeight="1" x14ac:dyDescent="0.3">
      <c r="B17" s="38" t="s">
        <v>272</v>
      </c>
      <c r="C17" s="38"/>
    </row>
    <row r="18" spans="2:3" ht="37.5" customHeight="1" x14ac:dyDescent="0.3">
      <c r="B18" s="38" t="s">
        <v>273</v>
      </c>
      <c r="C18" s="38"/>
    </row>
    <row r="19" spans="2:3" x14ac:dyDescent="0.3">
      <c r="B19" s="3"/>
      <c r="C19" s="3"/>
    </row>
    <row r="20" spans="2:3" ht="23.25" customHeight="1" x14ac:dyDescent="0.3">
      <c r="B20" s="39" t="s">
        <v>274</v>
      </c>
      <c r="C20" s="41"/>
    </row>
    <row r="21" spans="2:3" ht="24" customHeight="1" x14ac:dyDescent="0.3">
      <c r="B21" s="38" t="s">
        <v>275</v>
      </c>
      <c r="C21" s="38"/>
    </row>
    <row r="22" spans="2:3" ht="24" customHeight="1" x14ac:dyDescent="0.3">
      <c r="B22" s="38" t="s">
        <v>276</v>
      </c>
      <c r="C22" s="38"/>
    </row>
    <row r="23" spans="2:3" ht="24" customHeight="1" x14ac:dyDescent="0.3">
      <c r="B23" s="38" t="s">
        <v>277</v>
      </c>
      <c r="C23" s="38"/>
    </row>
    <row r="24" spans="2:3" ht="24" customHeight="1" x14ac:dyDescent="0.3">
      <c r="B24" s="38" t="s">
        <v>278</v>
      </c>
      <c r="C24" s="38"/>
    </row>
    <row r="25" spans="2:3" ht="24" customHeight="1" x14ac:dyDescent="0.3">
      <c r="B25" s="38" t="s">
        <v>279</v>
      </c>
      <c r="C25" s="38"/>
    </row>
    <row r="26" spans="2:3" ht="24" customHeight="1" x14ac:dyDescent="0.3">
      <c r="B26" s="38" t="s">
        <v>280</v>
      </c>
      <c r="C26" s="38"/>
    </row>
    <row r="27" spans="2:3" ht="24" customHeight="1" x14ac:dyDescent="0.3">
      <c r="B27" s="38" t="s">
        <v>281</v>
      </c>
      <c r="C27" s="38"/>
    </row>
    <row r="28" spans="2:3" ht="24" customHeight="1" x14ac:dyDescent="0.3">
      <c r="B28" s="38" t="s">
        <v>282</v>
      </c>
      <c r="C28" s="38"/>
    </row>
    <row r="29" spans="2:3" ht="24" customHeight="1" x14ac:dyDescent="0.3">
      <c r="B29" s="38" t="s">
        <v>283</v>
      </c>
      <c r="C29" s="38"/>
    </row>
    <row r="30" spans="2:3" ht="24" customHeight="1" x14ac:dyDescent="0.3">
      <c r="B30" s="38" t="s">
        <v>284</v>
      </c>
      <c r="C30" s="38"/>
    </row>
    <row r="31" spans="2:3" x14ac:dyDescent="0.3">
      <c r="B31" s="3"/>
      <c r="C31" s="3"/>
    </row>
    <row r="32" spans="2:3" ht="23.25" customHeight="1" x14ac:dyDescent="0.3">
      <c r="B32" s="39" t="s">
        <v>285</v>
      </c>
      <c r="C32" s="41"/>
    </row>
    <row r="33" spans="2:3" ht="24" customHeight="1" x14ac:dyDescent="0.3">
      <c r="B33" s="38" t="s">
        <v>286</v>
      </c>
      <c r="C33" s="38"/>
    </row>
    <row r="34" spans="2:3" ht="37.5" customHeight="1" x14ac:dyDescent="0.3">
      <c r="B34" s="38" t="s">
        <v>287</v>
      </c>
      <c r="C34" s="38"/>
    </row>
    <row r="35" spans="2:3" ht="37.5" customHeight="1" x14ac:dyDescent="0.3">
      <c r="B35" s="38" t="s">
        <v>288</v>
      </c>
      <c r="C35" s="38"/>
    </row>
    <row r="36" spans="2:3" ht="37.5" customHeight="1" x14ac:dyDescent="0.3">
      <c r="B36" s="38" t="s">
        <v>289</v>
      </c>
      <c r="C36" s="38"/>
    </row>
    <row r="37" spans="2:3" x14ac:dyDescent="0.3">
      <c r="B37" s="3"/>
      <c r="C37" s="3"/>
    </row>
    <row r="38" spans="2:3" x14ac:dyDescent="0.3">
      <c r="B38" s="3"/>
      <c r="C38" s="3"/>
    </row>
    <row r="39" spans="2:3" x14ac:dyDescent="0.3">
      <c r="B39" s="2"/>
      <c r="C39" s="2"/>
    </row>
    <row r="40" spans="2:3" x14ac:dyDescent="0.3">
      <c r="B40" s="2"/>
      <c r="C40" s="2"/>
    </row>
    <row r="41" spans="2:3" x14ac:dyDescent="0.3">
      <c r="B41" s="2"/>
      <c r="C41" s="2"/>
    </row>
    <row r="42" spans="2:3" x14ac:dyDescent="0.3">
      <c r="B42" s="2"/>
      <c r="C42" s="2"/>
    </row>
    <row r="43" spans="2:3" x14ac:dyDescent="0.3">
      <c r="B43" s="2"/>
      <c r="C43" s="2"/>
    </row>
    <row r="44" spans="2:3" x14ac:dyDescent="0.3">
      <c r="B44" s="2"/>
      <c r="C44" s="2"/>
    </row>
    <row r="45" spans="2:3" x14ac:dyDescent="0.3">
      <c r="B45" s="2"/>
      <c r="C45" s="2"/>
    </row>
    <row r="46" spans="2:3" x14ac:dyDescent="0.3">
      <c r="B46" s="2"/>
      <c r="C46" s="2"/>
    </row>
    <row r="47" spans="2:3" x14ac:dyDescent="0.3">
      <c r="B47" s="2"/>
      <c r="C47" s="2"/>
    </row>
    <row r="48" spans="2:3" x14ac:dyDescent="0.3">
      <c r="B48" s="2"/>
      <c r="C48" s="2"/>
    </row>
    <row r="49" spans="2:3" x14ac:dyDescent="0.3">
      <c r="B49" s="2"/>
      <c r="C49" s="2"/>
    </row>
    <row r="50" spans="2:3" x14ac:dyDescent="0.3">
      <c r="B50" s="2"/>
      <c r="C50" s="2"/>
    </row>
    <row r="51" spans="2:3" x14ac:dyDescent="0.3">
      <c r="B51" s="2"/>
      <c r="C51" s="2"/>
    </row>
    <row r="52" spans="2:3" x14ac:dyDescent="0.3">
      <c r="B52" s="2"/>
      <c r="C52" s="2"/>
    </row>
    <row r="53" spans="2:3" x14ac:dyDescent="0.3">
      <c r="B53" s="2"/>
      <c r="C53" s="2"/>
    </row>
    <row r="54" spans="2:3" x14ac:dyDescent="0.3">
      <c r="B54" s="2"/>
      <c r="C54" s="2"/>
    </row>
    <row r="55" spans="2:3" x14ac:dyDescent="0.3">
      <c r="B55" s="2"/>
      <c r="C55" s="2"/>
    </row>
    <row r="56" spans="2:3" x14ac:dyDescent="0.3">
      <c r="B56" s="2"/>
      <c r="C56" s="2"/>
    </row>
    <row r="57" spans="2:3" x14ac:dyDescent="0.3">
      <c r="B57" s="2"/>
      <c r="C57" s="2"/>
    </row>
    <row r="58" spans="2:3" x14ac:dyDescent="0.3">
      <c r="B58" s="2"/>
      <c r="C58" s="2"/>
    </row>
    <row r="59" spans="2:3" x14ac:dyDescent="0.3">
      <c r="B59" s="2"/>
      <c r="C59" s="2"/>
    </row>
    <row r="60" spans="2:3" x14ac:dyDescent="0.3">
      <c r="B60" s="2"/>
      <c r="C60" s="2"/>
    </row>
    <row r="61" spans="2:3" x14ac:dyDescent="0.3">
      <c r="B61" s="2"/>
      <c r="C61" s="2"/>
    </row>
    <row r="62" spans="2:3" x14ac:dyDescent="0.3">
      <c r="B62" s="2"/>
      <c r="C62" s="2"/>
    </row>
    <row r="63" spans="2:3" x14ac:dyDescent="0.3">
      <c r="B63" s="2"/>
      <c r="C63" s="2"/>
    </row>
    <row r="64" spans="2:3" x14ac:dyDescent="0.3">
      <c r="B64" s="2"/>
      <c r="C64" s="2"/>
    </row>
    <row r="65" spans="2:3" x14ac:dyDescent="0.3">
      <c r="B65" s="2"/>
      <c r="C65" s="2"/>
    </row>
    <row r="66" spans="2:3" x14ac:dyDescent="0.3">
      <c r="B66" s="2"/>
      <c r="C66" s="2"/>
    </row>
    <row r="67" spans="2:3" x14ac:dyDescent="0.3">
      <c r="B67" s="2"/>
      <c r="C67" s="2"/>
    </row>
    <row r="68" spans="2:3" x14ac:dyDescent="0.3">
      <c r="B68" s="2"/>
      <c r="C68" s="2"/>
    </row>
    <row r="69" spans="2:3" x14ac:dyDescent="0.3">
      <c r="B69" s="2"/>
      <c r="C69" s="2"/>
    </row>
    <row r="70" spans="2:3" x14ac:dyDescent="0.3">
      <c r="B70" s="2"/>
      <c r="C70" s="2"/>
    </row>
    <row r="71" spans="2:3" x14ac:dyDescent="0.3">
      <c r="B71" s="2"/>
      <c r="C71" s="2"/>
    </row>
    <row r="72" spans="2:3" x14ac:dyDescent="0.3">
      <c r="B72" s="2"/>
      <c r="C72" s="2"/>
    </row>
    <row r="73" spans="2:3" x14ac:dyDescent="0.3">
      <c r="B73" s="2"/>
      <c r="C73" s="2"/>
    </row>
    <row r="74" spans="2:3" x14ac:dyDescent="0.3">
      <c r="B74" s="2"/>
      <c r="C74" s="2"/>
    </row>
    <row r="75" spans="2:3" x14ac:dyDescent="0.3">
      <c r="B75" s="2"/>
      <c r="C75" s="2"/>
    </row>
    <row r="76" spans="2:3" x14ac:dyDescent="0.3">
      <c r="B76" s="2"/>
      <c r="C76" s="2"/>
    </row>
    <row r="77" spans="2:3" x14ac:dyDescent="0.3">
      <c r="B77" s="2"/>
      <c r="C77" s="2"/>
    </row>
    <row r="78" spans="2:3" x14ac:dyDescent="0.3">
      <c r="B78" s="2"/>
      <c r="C78" s="2"/>
    </row>
    <row r="79" spans="2:3" x14ac:dyDescent="0.3">
      <c r="B79" s="2"/>
      <c r="C79" s="2"/>
    </row>
    <row r="80" spans="2:3" x14ac:dyDescent="0.3">
      <c r="B80" s="2"/>
      <c r="C80" s="2"/>
    </row>
    <row r="81" spans="2:3" x14ac:dyDescent="0.3">
      <c r="B81" s="2"/>
      <c r="C81" s="2"/>
    </row>
    <row r="82" spans="2:3" x14ac:dyDescent="0.3">
      <c r="B82" s="2"/>
      <c r="C82" s="2"/>
    </row>
    <row r="83" spans="2:3" x14ac:dyDescent="0.3">
      <c r="B83" s="2"/>
      <c r="C83" s="2"/>
    </row>
    <row r="84" spans="2:3" x14ac:dyDescent="0.3">
      <c r="B84" s="2"/>
      <c r="C84" s="2"/>
    </row>
    <row r="85" spans="2:3" x14ac:dyDescent="0.3">
      <c r="B85" s="2"/>
      <c r="C85" s="2"/>
    </row>
    <row r="86" spans="2:3" x14ac:dyDescent="0.3">
      <c r="B86" s="2"/>
      <c r="C86" s="2"/>
    </row>
    <row r="87" spans="2:3" x14ac:dyDescent="0.3">
      <c r="B87" s="2"/>
      <c r="C87" s="2"/>
    </row>
    <row r="88" spans="2:3" x14ac:dyDescent="0.3">
      <c r="B88" s="2"/>
      <c r="C88" s="2"/>
    </row>
    <row r="89" spans="2:3" x14ac:dyDescent="0.3">
      <c r="B89" s="2"/>
      <c r="C89" s="2"/>
    </row>
    <row r="90" spans="2:3" x14ac:dyDescent="0.3">
      <c r="B90" s="2"/>
      <c r="C90" s="2"/>
    </row>
    <row r="91" spans="2:3" x14ac:dyDescent="0.3">
      <c r="B91" s="2"/>
      <c r="C91" s="2"/>
    </row>
    <row r="92" spans="2:3" x14ac:dyDescent="0.3">
      <c r="B92" s="2"/>
      <c r="C92" s="2"/>
    </row>
    <row r="93" spans="2:3" x14ac:dyDescent="0.3">
      <c r="B93" s="2"/>
      <c r="C93" s="2"/>
    </row>
    <row r="94" spans="2:3" x14ac:dyDescent="0.3">
      <c r="B94" s="2"/>
      <c r="C94" s="2"/>
    </row>
    <row r="95" spans="2:3" x14ac:dyDescent="0.3">
      <c r="B95" s="2"/>
      <c r="C95" s="2"/>
    </row>
    <row r="96" spans="2:3" x14ac:dyDescent="0.3">
      <c r="B96" s="2"/>
      <c r="C96" s="2"/>
    </row>
    <row r="97" spans="2:3" x14ac:dyDescent="0.3">
      <c r="B97" s="2"/>
      <c r="C97" s="2"/>
    </row>
    <row r="98" spans="2:3" x14ac:dyDescent="0.3">
      <c r="B98" s="2"/>
      <c r="C98" s="2"/>
    </row>
    <row r="99" spans="2:3" x14ac:dyDescent="0.3">
      <c r="B99" s="2"/>
      <c r="C99" s="2"/>
    </row>
    <row r="100" spans="2:3" x14ac:dyDescent="0.3">
      <c r="B100" s="2"/>
      <c r="C100" s="2"/>
    </row>
    <row r="101" spans="2:3" x14ac:dyDescent="0.3">
      <c r="B101" s="2"/>
      <c r="C101" s="2"/>
    </row>
    <row r="102" spans="2:3" x14ac:dyDescent="0.3">
      <c r="B102" s="2"/>
      <c r="C102" s="2"/>
    </row>
    <row r="103" spans="2:3" x14ac:dyDescent="0.3">
      <c r="B103" s="2"/>
      <c r="C103" s="2"/>
    </row>
    <row r="104" spans="2:3" x14ac:dyDescent="0.3">
      <c r="B104" s="2"/>
      <c r="C104" s="2"/>
    </row>
    <row r="105" spans="2:3" x14ac:dyDescent="0.3">
      <c r="B105" s="2"/>
      <c r="C105" s="2"/>
    </row>
    <row r="106" spans="2:3" x14ac:dyDescent="0.3">
      <c r="B106" s="2"/>
      <c r="C106" s="2"/>
    </row>
    <row r="107" spans="2:3" x14ac:dyDescent="0.3">
      <c r="B107" s="2"/>
      <c r="C107" s="2"/>
    </row>
    <row r="108" spans="2:3" x14ac:dyDescent="0.3">
      <c r="B108" s="2"/>
      <c r="C108" s="2"/>
    </row>
    <row r="109" spans="2:3" x14ac:dyDescent="0.3">
      <c r="B109" s="2"/>
      <c r="C109" s="2"/>
    </row>
    <row r="110" spans="2:3" x14ac:dyDescent="0.3">
      <c r="B110" s="2"/>
      <c r="C110" s="2"/>
    </row>
    <row r="111" spans="2:3" x14ac:dyDescent="0.3">
      <c r="B111" s="2"/>
      <c r="C111" s="2"/>
    </row>
    <row r="112" spans="2:3" x14ac:dyDescent="0.3">
      <c r="B112" s="2"/>
      <c r="C112" s="2"/>
    </row>
    <row r="113" spans="2:3" x14ac:dyDescent="0.3">
      <c r="B113" s="2"/>
      <c r="C113" s="2"/>
    </row>
    <row r="114" spans="2:3" x14ac:dyDescent="0.3">
      <c r="B114" s="2"/>
      <c r="C114" s="2"/>
    </row>
    <row r="115" spans="2:3" x14ac:dyDescent="0.3">
      <c r="B115" s="2"/>
      <c r="C115" s="2"/>
    </row>
    <row r="116" spans="2:3" x14ac:dyDescent="0.3">
      <c r="B116" s="2"/>
      <c r="C116" s="2"/>
    </row>
    <row r="117" spans="2:3" x14ac:dyDescent="0.3">
      <c r="B117" s="2"/>
      <c r="C117" s="2"/>
    </row>
    <row r="118" spans="2:3" x14ac:dyDescent="0.3">
      <c r="B118" s="2"/>
      <c r="C118" s="2"/>
    </row>
    <row r="119" spans="2:3" x14ac:dyDescent="0.3">
      <c r="B119" s="2"/>
      <c r="C119" s="2"/>
    </row>
    <row r="120" spans="2:3" x14ac:dyDescent="0.3">
      <c r="B120" s="2"/>
      <c r="C120" s="2"/>
    </row>
    <row r="121" spans="2:3" x14ac:dyDescent="0.3">
      <c r="B121" s="2"/>
      <c r="C121" s="2"/>
    </row>
    <row r="122" spans="2:3" x14ac:dyDescent="0.3">
      <c r="B122" s="2"/>
      <c r="C122" s="2"/>
    </row>
    <row r="123" spans="2:3" x14ac:dyDescent="0.3">
      <c r="B123" s="2"/>
      <c r="C123" s="2"/>
    </row>
    <row r="124" spans="2:3" x14ac:dyDescent="0.3">
      <c r="B124" s="2"/>
      <c r="C124" s="2"/>
    </row>
    <row r="125" spans="2:3" x14ac:dyDescent="0.3">
      <c r="B125" s="2"/>
      <c r="C125" s="2"/>
    </row>
    <row r="126" spans="2:3" x14ac:dyDescent="0.3">
      <c r="B126" s="2"/>
      <c r="C126" s="2"/>
    </row>
    <row r="127" spans="2:3" x14ac:dyDescent="0.3">
      <c r="B127" s="2"/>
      <c r="C127" s="2"/>
    </row>
    <row r="128" spans="2:3" x14ac:dyDescent="0.3">
      <c r="B128" s="2"/>
      <c r="C128" s="2"/>
    </row>
    <row r="129" spans="2:3" x14ac:dyDescent="0.3">
      <c r="B129" s="2"/>
      <c r="C129" s="2"/>
    </row>
    <row r="130" spans="2:3" x14ac:dyDescent="0.3">
      <c r="B130" s="2"/>
      <c r="C130" s="2"/>
    </row>
    <row r="131" spans="2:3" x14ac:dyDescent="0.3">
      <c r="B131" s="2"/>
      <c r="C131" s="2"/>
    </row>
    <row r="132" spans="2:3" x14ac:dyDescent="0.3">
      <c r="B132" s="2"/>
      <c r="C132" s="2"/>
    </row>
    <row r="133" spans="2:3" x14ac:dyDescent="0.3">
      <c r="B133" s="2"/>
      <c r="C133" s="2"/>
    </row>
    <row r="134" spans="2:3" x14ac:dyDescent="0.3">
      <c r="B134" s="2"/>
      <c r="C134" s="2"/>
    </row>
    <row r="135" spans="2:3" x14ac:dyDescent="0.3">
      <c r="B135" s="2"/>
      <c r="C135" s="2"/>
    </row>
    <row r="136" spans="2:3" x14ac:dyDescent="0.3">
      <c r="B136" s="2"/>
      <c r="C136" s="2"/>
    </row>
    <row r="137" spans="2:3" x14ac:dyDescent="0.3">
      <c r="B137" s="2"/>
      <c r="C137" s="2"/>
    </row>
    <row r="138" spans="2:3" x14ac:dyDescent="0.3">
      <c r="B138" s="2"/>
      <c r="C138" s="2"/>
    </row>
    <row r="139" spans="2:3" x14ac:dyDescent="0.3">
      <c r="B139" s="2"/>
      <c r="C139" s="2"/>
    </row>
    <row r="140" spans="2:3" x14ac:dyDescent="0.3">
      <c r="B140" s="2"/>
      <c r="C140" s="2"/>
    </row>
    <row r="141" spans="2:3" x14ac:dyDescent="0.3">
      <c r="B141" s="2"/>
      <c r="C141" s="2"/>
    </row>
    <row r="142" spans="2:3" x14ac:dyDescent="0.3">
      <c r="B142" s="2"/>
      <c r="C142" s="2"/>
    </row>
    <row r="143" spans="2:3" x14ac:dyDescent="0.3">
      <c r="B143" s="2"/>
      <c r="C143" s="2"/>
    </row>
    <row r="144" spans="2:3" x14ac:dyDescent="0.3">
      <c r="B144" s="2"/>
      <c r="C144" s="2"/>
    </row>
    <row r="145" spans="2:3" x14ac:dyDescent="0.3">
      <c r="B145" s="2"/>
      <c r="C145" s="2"/>
    </row>
    <row r="146" spans="2:3" x14ac:dyDescent="0.3">
      <c r="B146" s="2"/>
      <c r="C146" s="2"/>
    </row>
    <row r="147" spans="2:3" x14ac:dyDescent="0.3">
      <c r="B147" s="2"/>
      <c r="C147" s="2"/>
    </row>
    <row r="148" spans="2:3" x14ac:dyDescent="0.3">
      <c r="B148" s="2"/>
      <c r="C148" s="2"/>
    </row>
    <row r="149" spans="2:3" x14ac:dyDescent="0.3">
      <c r="B149" s="2"/>
      <c r="C149" s="2"/>
    </row>
    <row r="150" spans="2:3" x14ac:dyDescent="0.3">
      <c r="B150" s="2"/>
      <c r="C150" s="2"/>
    </row>
    <row r="151" spans="2:3" x14ac:dyDescent="0.3">
      <c r="B151" s="2"/>
      <c r="C151" s="2"/>
    </row>
    <row r="152" spans="2:3" x14ac:dyDescent="0.3">
      <c r="B152" s="2"/>
      <c r="C152" s="2"/>
    </row>
    <row r="153" spans="2:3" x14ac:dyDescent="0.3">
      <c r="B153" s="2"/>
      <c r="C153" s="2"/>
    </row>
    <row r="154" spans="2:3" x14ac:dyDescent="0.3">
      <c r="B154" s="2"/>
      <c r="C154" s="2"/>
    </row>
    <row r="155" spans="2:3" x14ac:dyDescent="0.3">
      <c r="B155" s="2"/>
      <c r="C155" s="2"/>
    </row>
    <row r="156" spans="2:3" x14ac:dyDescent="0.3">
      <c r="B156" s="2"/>
      <c r="C156" s="2"/>
    </row>
    <row r="157" spans="2:3" x14ac:dyDescent="0.3">
      <c r="B157" s="2"/>
      <c r="C157" s="2"/>
    </row>
    <row r="158" spans="2:3" x14ac:dyDescent="0.3">
      <c r="B158" s="2"/>
      <c r="C158" s="2"/>
    </row>
    <row r="159" spans="2:3" x14ac:dyDescent="0.3">
      <c r="B159" s="2"/>
      <c r="C159" s="2"/>
    </row>
    <row r="160" spans="2:3" x14ac:dyDescent="0.3">
      <c r="B160" s="2"/>
      <c r="C160" s="2"/>
    </row>
  </sheetData>
  <mergeCells count="23">
    <mergeCell ref="B2:C2"/>
    <mergeCell ref="B3:C3"/>
    <mergeCell ref="B5:C5"/>
    <mergeCell ref="B15:C15"/>
    <mergeCell ref="B16:C16"/>
    <mergeCell ref="B17:C17"/>
    <mergeCell ref="B18:C18"/>
    <mergeCell ref="B20:C20"/>
    <mergeCell ref="B21:C21"/>
    <mergeCell ref="B22:C22"/>
    <mergeCell ref="B23:C23"/>
    <mergeCell ref="B24:C24"/>
    <mergeCell ref="B25:C25"/>
    <mergeCell ref="B26:C26"/>
    <mergeCell ref="B27:C27"/>
    <mergeCell ref="B34:C34"/>
    <mergeCell ref="B35:C35"/>
    <mergeCell ref="B36:C36"/>
    <mergeCell ref="B28:C28"/>
    <mergeCell ref="B29:C29"/>
    <mergeCell ref="B30:C30"/>
    <mergeCell ref="B32:C32"/>
    <mergeCell ref="B33:C33"/>
  </mergeCells>
  <phoneticPr fontId="12"/>
  <pageMargins left="0.25" right="0.25" top="0.4" bottom="0.4" header="0.2" footer="0.2"/>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01_企画概要</vt:lpstr>
      <vt:lpstr>02_対象と課題</vt:lpstr>
      <vt:lpstr>03_利用者と業務</vt:lpstr>
      <vt:lpstr>04_機能と範囲</vt:lpstr>
      <vt:lpstr>05_品質と技術</vt:lpstr>
      <vt:lpstr>06_導入と評価</vt:lpstr>
      <vt:lpstr>07_開発計画</vt:lpstr>
      <vt:lpstr>08_リスクと確認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YAMAMOTO Akihiro</cp:lastModifiedBy>
  <dcterms:created xsi:type="dcterms:W3CDTF">2026-09-13T15:10:47Z</dcterms:created>
  <dcterms:modified xsi:type="dcterms:W3CDTF">2026-09-13T15:14:20Z</dcterms:modified>
</cp:coreProperties>
</file>