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c405053f7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計画概要" sheetId="1" r:id="R2591eeba40ea4918"/>
    <x:sheet xmlns:r="http://schemas.openxmlformats.org/officeDocument/2006/relationships" name="02_開発範囲" sheetId="2" r:id="Rd64f7f4cb6674744"/>
    <x:sheet xmlns:r="http://schemas.openxmlformats.org/officeDocument/2006/relationships" name="03_工程計画" sheetId="3" r:id="Red67f3e1fce049c4"/>
    <x:sheet xmlns:r="http://schemas.openxmlformats.org/officeDocument/2006/relationships" name="04_体制と管理" sheetId="4" r:id="Rd5bdf436cc824298"/>
    <x:sheet xmlns:r="http://schemas.openxmlformats.org/officeDocument/2006/relationships" name="05_品質と受入" sheetId="5" r:id="R0f7ebd2d00a94bc2"/>
    <x:sheet xmlns:r="http://schemas.openxmlformats.org/officeDocument/2006/relationships" name="06_リスクと確認" sheetId="6" r:id="R8a4f80afab05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1"/>
      <x:color rgb="FF202735"/>
      <x:name val="Arial"/>
    </x:font>
    <x:font>
      <x:b/>
      <x:sz val="16"/>
      <x:color rgb="FF000000"/>
      <x:name val="Arial"/>
    </x:font>
    <x:font>
      <x:sz val="10"/>
      <x:color rgb="FF586270"/>
      <x:name val="Arial"/>
    </x:font>
    <x:font>
      <x:b/>
      <x:sz val="12"/>
      <x:color rgb="FF000000"/>
      <x:name val="Arial"/>
    </x:font>
    <x:font>
      <x:b/>
      <x:sz val="11"/>
      <x:color rgb="FFFFFFFF"/>
      <x:name val="Arial"/>
    </x:font>
    <x:font>
      <x:b/>
      <x:sz val="11"/>
      <x:color rgb="FF20273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B8C2CE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9DFE6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4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4" borderId="4" xfId="0" applyNumberFormat="1" applyFont="1" applyFill="1" applyBorder="1" applyAlignment="1">
      <x:alignment horizontal="left" vertical="center" wrapText="1"/>
    </x:xf>
    <x:xf numFmtId="200" fontId="1" fillId="4" borderId="4" xfId="0" applyNumberFormat="1" applyFont="1" applyFill="1" applyBorder="1" applyAlignment="1">
      <x:alignment horizontal="left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1" fillId="3" borderId="4" xfId="0" applyNumberFormat="1" applyFont="1" applyFill="1" applyBorder="1" applyAlignment="1">
      <x:alignment horizontal="right" vertical="center" wrapText="1"/>
    </x:xf>
    <x:xf numFmtId="0" fontId="1" fillId="4" borderId="4" xfId="0" applyNumberFormat="1" applyFont="1" applyFill="1" applyBorder="1" applyAlignment="1">
      <x:alignment horizontal="right" vertical="center" wrapText="1"/>
    </x:xf>
    <x:xf numFmtId="201" fontId="1" fillId="3" borderId="4" xfId="0" applyNumberFormat="1" applyFont="1" applyFill="1" applyBorder="1" applyAlignment="1">
      <x:alignment horizontal="right" vertical="center" wrapText="1"/>
    </x:xf>
    <x:xf numFmtId="201" fontId="1" fillId="4" borderId="4" xfId="0" applyNumberFormat="1" applyFont="1" applyFill="1" applyBorder="1" applyAlignment="1">
      <x:alignment horizontal="right" vertical="center" wrapText="1"/>
    </x:xf>
    <x:xf numFmtId="201" fontId="1" fillId="5" borderId="4" xfId="0" applyNumberFormat="1" applyFont="1" applyFill="1" applyBorder="1" applyAlignment="1">
      <x:alignment horizontal="right" vertical="center" wrapText="1"/>
    </x:xf>
    <x:xf numFmtId="200" fontId="1" fillId="3" borderId="4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1" fillId="5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9cbca5a07475b" /><Relationship Type="http://schemas.openxmlformats.org/officeDocument/2006/relationships/theme" Target="/xl/theme/theme1.xml" Id="R81b527b36fb34e3b" /><Relationship Type="http://schemas.openxmlformats.org/officeDocument/2006/relationships/sharedStrings" Target="/xl/sharedStrings.xml" Id="R6dce554ede8d4a51" /><Relationship Type="http://schemas.openxmlformats.org/officeDocument/2006/relationships/worksheet" Target="/xl/worksheets/sheet1.xml" Id="R2591eeba40ea4918" /><Relationship Type="http://schemas.openxmlformats.org/officeDocument/2006/relationships/worksheet" Target="/xl/worksheets/sheet2.xml" Id="Rd64f7f4cb6674744" /><Relationship Type="http://schemas.openxmlformats.org/officeDocument/2006/relationships/worksheet" Target="/xl/worksheets/sheet3.xml" Id="Red67f3e1fce049c4" /><Relationship Type="http://schemas.openxmlformats.org/officeDocument/2006/relationships/worksheet" Target="/xl/worksheets/sheet4.xml" Id="Rd5bdf436cc824298" /><Relationship Type="http://schemas.openxmlformats.org/officeDocument/2006/relationships/worksheet" Target="/xl/worksheets/sheet5.xml" Id="R0f7ebd2d00a94bc2" /><Relationship Type="http://schemas.openxmlformats.org/officeDocument/2006/relationships/worksheet" Target="/xl/worksheets/sheet6.xml" Id="R8a4f80afab05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5" hidden="0" customWidth="1"/>
    <x:col min="2" max="2" width="26.25" hidden="0" customWidth="1"/>
    <x:col min="3" max="3" width="125" hidden="0" customWidth="1"/>
  </x:cols>
  <x:sheetData>
    <x:row r="1" ht="9" customHeight="1">
      <x:c r="B1" s="1"/>
      <x:c r="C1" s="1"/>
    </x:row>
    <x:row r="2" ht="25.5" customHeight="1">
      <x:c r="B2" s="3" t="str">
        <x:v>keepia プロジェクト計画書</x:v>
      </x:c>
      <x:c r="C2" s="3"/>
    </x:row>
    <x:row r="3" ht="20.25" customHeight="1">
      <x:c r="B3" s="4" t="str">
        <x:v>キーピア IT保守契約・問い合わせ管理システム   第1版</x:v>
      </x:c>
      <x:c r="C3" s="4"/>
    </x:row>
    <x:row r="4">
      <x:c r="B4" s="1"/>
      <x:c r="C4" s="1"/>
    </x:row>
    <x:row r="5" ht="24.75" customHeight="1">
      <x:c r="B5" s="5" t="str">
        <x:v>1 文書情報</x:v>
      </x:c>
      <x:c r="C5" s="5"/>
    </x:row>
    <x:row r="6" ht="30" customHeight="1">
      <x:c r="B6" s="12" t="str">
        <x:v>項目</x:v>
      </x:c>
      <x:c r="C6" s="13" t="str">
        <x:v>内容</x:v>
      </x:c>
    </x:row>
    <x:row r="7" ht="30" customHeight="1">
      <x:c r="B7" s="15" t="str">
        <x:v>文書名</x:v>
      </x:c>
      <x:c r="C7" s="15" t="str">
        <x:v>keepia プロジェクト計画書</x:v>
      </x:c>
    </x:row>
    <x:row r="8" ht="30" customHeight="1">
      <x:c r="B8" s="17" t="str">
        <x:v>作成日</x:v>
      </x:c>
      <x:c r="C8" s="18" t="n">
        <x:v>46279</x:v>
      </x:c>
    </x:row>
    <x:row r="9" ht="30" customHeight="1">
      <x:c r="B9" s="15" t="str">
        <x:v>文書版と状態</x:v>
      </x:c>
      <x:c r="C9" s="15" t="str">
        <x:v>第1版 計画案</x:v>
      </x:c>
    </x:row>
    <x:row r="10" ht="30" customHeight="1">
      <x:c r="B10" s="17" t="str">
        <x:v>開発責任者</x:v>
      </x:c>
      <x:c r="C10" s="17" t="str">
        <x:v>開発者本人 氏名は要設定</x:v>
      </x:c>
    </x:row>
    <x:row r="11" ht="30" customHeight="1">
      <x:c r="B11" s="15" t="str">
        <x:v>開発体制と方式</x:v>
      </x:c>
      <x:c r="C11" s="15" t="str">
        <x:v>個人開発1名 ウォーターフォール型</x:v>
      </x:c>
    </x:row>
    <x:row r="12" ht="30" customHeight="1">
      <x:c r="B12" s="17" t="str">
        <x:v>対象期間</x:v>
      </x:c>
      <x:c r="C12" s="17" t="str">
        <x:v>企画から初期版の試行開始まで。開始日は工程計画で設定する。</x:v>
      </x:c>
    </x:row>
    <x:row r="13" ht="30" customHeight="1">
      <x:c r="B13" s="15" t="str">
        <x:v>対象読者</x:v>
      </x:c>
      <x:c r="C13" s="15" t="str">
        <x:v>開発者、試行先の保守部門責任者、レビュー協力者</x:v>
      </x:c>
    </x:row>
    <x:row r="14" ht="30" customHeight="1">
      <x:c r="B14" s="17" t="str">
        <x:v>計画の根拠</x:v>
      </x:c>
      <x:c r="C14" s="17" t="str">
        <x:v>IT保守対応管理システム 企画書 第1版 2026年9月13日。アプリ名はkeepiaとする。</x:v>
      </x:c>
    </x:row>
    <x:row r="15">
      <x:c r="B15" s="1"/>
      <x:c r="C15" s="1"/>
    </x:row>
    <x:row r="16" ht="24.75" customHeight="1">
      <x:c r="B16" s="5" t="str">
        <x:v>2 プロジェクトの目的</x:v>
      </x:c>
      <x:c r="C16" s="5"/>
    </x:row>
    <x:row r="17" ht="30" customHeight="1">
      <x:c r="B17" s="12" t="str">
        <x:v>項目</x:v>
      </x:c>
      <x:c r="C17" s="13" t="str">
        <x:v>計画内容</x:v>
      </x:c>
    </x:row>
    <x:row r="18" ht="42" customHeight="1">
      <x:c r="B18" s="15" t="str">
        <x:v>開発目的</x:v>
      </x:c>
      <x:c r="C18" s="15" t="str">
        <x:v>顧客の問い合わせ受付、契約別の初回返信期限、対応履歴、作業記録、月次報告を一つのWebシステムで管理する。対応漏れと報告書への転記作業を減らす。</x:v>
      </x:c>
    </x:row>
    <x:row r="19" ht="42" customHeight="1">
      <x:c r="B19" s="17" t="str">
        <x:v>対象企業と利用規模</x:v>
      </x:c>
      <x:c r="C19" s="17" t="str">
        <x:v>IT保守を複数企業から受託する保守会社を対象とする。検証規模は担当者5〜20名、顧客10〜50社、月間問い合わせ100〜1,000件の想定。市場調査の実測値ではない。</x:v>
      </x:c>
    </x:row>
    <x:row r="20" ht="30" customHeight="1">
      <x:c r="B20" s="15" t="str">
        <x:v>業務の完成範囲</x:v>
      </x:c>
      <x:c r="C20" s="15" t="str">
        <x:v>顧客・契約登録 → 問い合わせ受付 → 初回返信期限設定 → 担当割当 → 返信・対応・作業記録 → 解決・完了 → 月次報告生成・確認・公開。</x:v>
      </x:c>
    </x:row>
    <x:row r="21" ht="42" customHeight="1">
      <x:c r="B21" s="17" t="str">
        <x:v>初期版の完成条件</x:v>
      </x:c>
      <x:c r="C21" s="17" t="str">
        <x:v>受付から月次報告の公開までの業務が動き、情報分離、期限計算、通知失敗の再処理、バックアップ復元を検証できる。詳細な判定条件は品質と受入シートに記載する。</x:v>
      </x:c>
    </x:row>
    <x:row r="22" ht="30" customHeight="1">
      <x:c r="B22" s="15" t="str">
        <x:v>期間と工数</x:v>
      </x:c>
      <x:c r="C22" s="15" t="str">
        <x:f>"通常工程"&amp;'03_工程計画'!D20&amp;"週・"&amp;'03_工程計画'!E20&amp;"時間、予備"&amp;'03_工程計画'!D19&amp;"週・"&amp;'03_工程計画'!E19&amp;"時間、合計"&amp;'03_工程計画'!D21&amp;"週・"&amp;'03_工程計画'!E21&amp;"時間。週"&amp;'03_工程計画'!D6&amp;"時間を前提とする見積もりで、要件定義と基本設計の完了時に見直す。"</x:f>
        <x:v>通常工程18週・270時間、予備4週・60時間、合計22週・330時間。週15時間を前提とする見積もりで、要件定義と基本設計の完了時に見直す。</x:v>
      </x:c>
    </x:row>
    <x:row r="23" ht="30" customHeight="1">
      <x:c r="B23" s="17" t="str">
        <x:v>提供開始の区分</x:v>
      </x:c>
      <x:c r="C23" s="17" t="str">
        <x:v>初期版の完成、限定した試行の開始、有償提供の開始はそれぞれ判定する。試行先は保守会社1社を想定し、有償提供の時期・料金は別途決定する。</x:v>
      </x:c>
    </x:row>
    <x:row r="24">
      <x:c r="B24" s="1"/>
      <x:c r="C24" s="1"/>
    </x:row>
    <x:row r="25" ht="24.75" customHeight="1">
      <x:c r="B25" s="5" t="str">
        <x:v>3 導入効果と評価</x:v>
      </x:c>
      <x:c r="C25" s="5"/>
    </x:row>
    <x:row r="26" ht="30" customHeight="1">
      <x:c r="B26" s="12" t="str">
        <x:v>評価項目</x:v>
      </x:c>
      <x:c r="C26" s="13" t="str">
        <x:v>測定方法と目標案</x:v>
      </x:c>
    </x:row>
    <x:row r="27" ht="30" customHeight="1">
      <x:c r="B27" s="15" t="str">
        <x:v>月次報告の作成時間</x:v>
      </x:c>
      <x:c r="C27" s="15" t="str">
        <x:v>顧客1社あたりの作成・確認時間を測定し、導入前より30％短縮を目標案とする。</x:v>
      </x:c>
    </x:row>
    <x:row r="28" ht="30" customHeight="1">
      <x:c r="B28" s="17" t="str">
        <x:v>初回返信までの時間</x:v>
      </x:c>
      <x:c r="C28" s="17" t="str">
        <x:v>受付から最初の顧客向け返信までの時間を測定し、導入前より20％短縮を目標案とする。</x:v>
      </x:c>
    </x:row>
    <x:row r="29" ht="30" customHeight="1">
      <x:c r="B29" s="15" t="str">
        <x:v>期限超過と未割当の滞留</x:v>
      </x:c>
      <x:c r="C29" s="15" t="str">
        <x:v>対象案件に占める初回返信期限超過の割合と、合意した時間を超える未割当件数を測定し、導入前より低下を目指す。</x:v>
      </x:c>
    </x:row>
    <x:row r="30" ht="30" customHeight="1">
      <x:c r="B30" s="17" t="str">
        <x:v>評価期間と合意</x:v>
      </x:c>
      <x:c r="C30" s="17" t="str">
        <x:v>導入前の直近1か月と、操作に慣れた後の試行1か月を比較する。対象案件・測定条件・数値目標は試行開始前に合意する。効果は保証値ではない。</x:v>
      </x:c>
    </x:row>
    <x:row r="31" ht="42" customHeight="1">
      <x:c r="B31" s="15" t="str">
        <x:v>開発計画との関係</x:v>
      </x:c>
      <x:c r="C31" s="15" t="str">
        <x:v>導入工程は設定・説明・試行開始・測定準備のための期間とする。その後の慣熟・1か月の効果測定と継続運用の工数は、工程計画の開発見積もりに含めず、別途見積もる。</x:v>
      </x:c>
    </x:row>
    <x:row r="32">
      <x:c r="B32" s="1"/>
      <x:c r="C32" s="1"/>
    </x:row>
    <x:row r="33">
      <x:c r="B33" s="1"/>
      <x:c r="C33" s="1"/>
    </x:row>
    <x:row r="34">
      <x:c r="B34" s="1"/>
      <x:c r="C34" s="1"/>
    </x:row>
    <x:row r="35">
      <x:c r="B35" s="1"/>
      <x:c r="C35" s="1"/>
    </x:row>
    <x:row r="36">
      <x:c r="B36" s="1"/>
      <x:c r="C36" s="1"/>
    </x:row>
    <x:row r="37">
      <x:c r="B37" s="1"/>
      <x:c r="C37" s="1"/>
    </x:row>
    <x:row r="38">
      <x:c r="B38" s="1"/>
      <x:c r="C38" s="1"/>
    </x:row>
    <x:row r="39">
      <x:c r="B39" s="1"/>
      <x:c r="C39" s="1"/>
    </x:row>
    <x:row r="40">
      <x:c r="B40" s="1"/>
      <x:c r="C40" s="1"/>
    </x:row>
    <x:row r="41">
      <x:c r="B41" s="1"/>
      <x:c r="C41" s="1"/>
    </x:row>
    <x:row r="42">
      <x:c r="B42" s="1"/>
      <x:c r="C42" s="1"/>
    </x:row>
    <x:row r="43">
      <x:c r="B43" s="1"/>
      <x:c r="C43" s="1"/>
    </x:row>
    <x:row r="44">
      <x:c r="B44" s="1"/>
      <x:c r="C44" s="1"/>
    </x:row>
    <x:row r="45">
      <x:c r="B45" s="1"/>
      <x:c r="C45" s="1"/>
    </x:row>
    <x:row r="46">
      <x:c r="B46" s="1"/>
      <x:c r="C46" s="1"/>
    </x:row>
    <x:row r="47">
      <x:c r="B47" s="1"/>
      <x:c r="C47" s="1"/>
    </x:row>
    <x:row r="48">
      <x:c r="B48" s="1"/>
      <x:c r="C48" s="1"/>
    </x:row>
    <x:row r="49">
      <x:c r="B49" s="1"/>
      <x:c r="C49" s="1"/>
    </x:row>
    <x:row r="50">
      <x:c r="B50" s="1"/>
      <x:c r="C50" s="1"/>
    </x:row>
    <x:row r="51">
      <x:c r="B51" s="1"/>
      <x:c r="C51" s="1"/>
    </x:row>
    <x:row r="52">
      <x:c r="B52" s="1"/>
      <x:c r="C52" s="1"/>
    </x:row>
    <x:row r="53">
      <x:c r="B53" s="1"/>
      <x:c r="C53" s="1"/>
    </x:row>
    <x:row r="54">
      <x:c r="B54" s="1"/>
      <x:c r="C54" s="1"/>
    </x:row>
    <x:row r="55">
      <x:c r="B55" s="1"/>
      <x:c r="C55" s="1"/>
    </x:row>
    <x:row r="56">
      <x:c r="B56" s="1"/>
      <x:c r="C56" s="1"/>
    </x:row>
    <x:row r="57">
      <x:c r="B57" s="1"/>
      <x:c r="C57" s="1"/>
    </x:row>
    <x:row r="58">
      <x:c r="B58" s="1"/>
      <x:c r="C58" s="1"/>
    </x:row>
    <x:row r="59">
      <x:c r="B59" s="1"/>
      <x:c r="C59" s="1"/>
    </x:row>
    <x:row r="60">
      <x:c r="B60" s="1"/>
      <x:c r="C60" s="1"/>
    </x:row>
    <x:row r="61">
      <x:c r="B61" s="1"/>
      <x:c r="C61" s="1"/>
    </x:row>
    <x:row r="62">
      <x:c r="B62" s="1"/>
      <x:c r="C62" s="1"/>
    </x:row>
    <x:row r="63">
      <x:c r="B63" s="1"/>
      <x:c r="C63" s="1"/>
    </x:row>
    <x:row r="64">
      <x:c r="B64" s="1"/>
      <x:c r="C64" s="1"/>
    </x:row>
    <x:row r="65">
      <x:c r="B65" s="1"/>
      <x:c r="C65" s="1"/>
    </x:row>
    <x:row r="66">
      <x:c r="B66" s="1"/>
      <x:c r="C66" s="1"/>
    </x:row>
    <x:row r="67">
      <x:c r="B67" s="1"/>
      <x:c r="C67" s="1"/>
    </x:row>
    <x:row r="68">
      <x:c r="B68" s="1"/>
      <x:c r="C68" s="1"/>
    </x:row>
    <x:row r="69">
      <x:c r="B69" s="1"/>
      <x:c r="C69" s="1"/>
    </x:row>
    <x:row r="70">
      <x:c r="B70" s="1"/>
      <x:c r="C70" s="1"/>
    </x:row>
    <x:row r="71">
      <x:c r="B71" s="1"/>
      <x:c r="C71" s="1"/>
    </x:row>
    <x:row r="72">
      <x:c r="B72" s="1"/>
      <x:c r="C72" s="1"/>
    </x:row>
    <x:row r="73">
      <x:c r="B73" s="1"/>
      <x:c r="C73" s="1"/>
    </x:row>
    <x:row r="74">
      <x:c r="B74" s="1"/>
      <x:c r="C74" s="1"/>
    </x:row>
    <x:row r="75">
      <x:c r="B75" s="1"/>
      <x:c r="C75" s="1"/>
    </x:row>
    <x:row r="76">
      <x:c r="B76" s="1"/>
      <x:c r="C76" s="1"/>
    </x:row>
    <x:row r="77">
      <x:c r="B77" s="1"/>
      <x:c r="C77" s="1"/>
    </x:row>
    <x:row r="78">
      <x:c r="B78" s="1"/>
      <x:c r="C78" s="1"/>
    </x:row>
    <x:row r="79">
      <x:c r="B79" s="1"/>
      <x:c r="C79" s="1"/>
    </x:row>
    <x:row r="80">
      <x:c r="B80" s="1"/>
      <x:c r="C80" s="1"/>
    </x:row>
    <x:row r="81">
      <x:c r="B81" s="1"/>
      <x:c r="C81" s="1"/>
    </x:row>
    <x:row r="82">
      <x:c r="B82" s="1"/>
      <x:c r="C82" s="1"/>
    </x:row>
    <x:row r="83">
      <x:c r="B83" s="1"/>
      <x:c r="C83" s="1"/>
    </x:row>
    <x:row r="84">
      <x:c r="B84" s="1"/>
      <x:c r="C84" s="1"/>
    </x:row>
    <x:row r="85">
      <x:c r="B85" s="1"/>
      <x:c r="C85" s="1"/>
    </x:row>
    <x:row r="86">
      <x:c r="B86" s="1"/>
      <x:c r="C86" s="1"/>
    </x:row>
    <x:row r="87">
      <x:c r="B87" s="1"/>
      <x:c r="C87" s="1"/>
    </x:row>
    <x:row r="88">
      <x:c r="B88" s="1"/>
      <x:c r="C88" s="1"/>
    </x:row>
    <x:row r="89">
      <x:c r="B89" s="1"/>
      <x:c r="C89" s="1"/>
    </x:row>
    <x:row r="90">
      <x:c r="B90" s="1"/>
      <x:c r="C9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75" hidden="0" customWidth="1"/>
    <x:col min="2" max="2" width="6.880000114440918" hidden="0" customWidth="1"/>
    <x:col min="3" max="3" width="22.5" hidden="0" customWidth="1"/>
    <x:col min="4" max="4" width="63.75" hidden="0" customWidth="1"/>
    <x:col min="5" max="5" width="58.130001068115234" hidden="0" customWidth="1"/>
  </x:cols>
  <x:sheetData>
    <x:row r="1" ht="9" customHeight="1">
      <x:c r="B1" s="1"/>
      <x:c r="C1" s="1"/>
      <x:c r="D1" s="1"/>
      <x:c r="E1" s="1"/>
    </x:row>
    <x:row r="2" ht="25.5" customHeight="1">
      <x:c r="B2" s="3" t="str">
        <x:v>開発範囲</x:v>
      </x:c>
      <x:c r="C2" s="3"/>
      <x:c r="D2" s="3"/>
      <x:c r="E2" s="3"/>
    </x:row>
    <x:row r="3" ht="20.25" customHeight="1">
      <x:c r="B3" s="4" t="str">
        <x:v>keepia 初期版の機能と対象外の範囲</x:v>
      </x:c>
      <x:c r="C3" s="4"/>
      <x:c r="D3" s="4"/>
      <x:c r="E3" s="4"/>
    </x:row>
    <x:row r="4">
      <x:c r="B4" s="1"/>
      <x:c r="C4" s="1"/>
      <x:c r="D4" s="1"/>
      <x:c r="E4" s="1"/>
    </x:row>
    <x:row r="5" ht="24.75" customHeight="1">
      <x:c r="B5" s="5" t="str">
        <x:v>1 初期版に含める機能</x:v>
      </x:c>
      <x:c r="C5" s="5"/>
      <x:c r="D5" s="5"/>
      <x:c r="E5" s="5"/>
    </x:row>
    <x:row r="6" ht="30" customHeight="1">
      <x:c r="B6" s="12" t="str">
        <x:v>ID</x:v>
      </x:c>
      <x:c r="C6" s="19" t="str">
        <x:v>機能</x:v>
      </x:c>
      <x:c r="D6" s="19" t="str">
        <x:v>実施内容</x:v>
      </x:c>
      <x:c r="E6" s="13" t="str">
        <x:v>範囲を定める条件</x:v>
      </x:c>
    </x:row>
    <x:row r="7" ht="45" customHeight="1">
      <x:c r="B7" s="15" t="str">
        <x:v>F01</x:v>
      </x:c>
      <x:c r="C7" s="15" t="str">
        <x:v>認証と権限</x:v>
      </x:c>
      <x:c r="D7" s="15" t="str">
        <x:v>管理者・保守担当者・顧客窓口のログインと権限を実装する。</x:v>
      </x:c>
      <x:c r="E7" s="15" t="str">
        <x:v>保守会社間と顧客間でデータを分離する。顧客が閲覧する範囲は要件定義で確定する。</x:v>
      </x:c>
    </x:row>
    <x:row r="8" ht="45" customHeight="1">
      <x:c r="B8" s="17" t="str">
        <x:v>F02</x:v>
      </x:c>
      <x:c r="C8" s="17" t="str">
        <x:v>顧客と契約</x:v>
      </x:c>
      <x:c r="D8" s="17" t="str">
        <x:v>顧客、利用者、契約期間、対象サービス、営業時間、初回返信の目標時間を管理する。</x:v>
      </x:c>
      <x:c r="E8" s="17" t="str">
        <x:v>受付時点の契約条件を保存し、過去案件の期限・評価を契約変更で変えない。</x:v>
      </x:c>
    </x:row>
    <x:row r="9" ht="45" customHeight="1">
      <x:c r="B9" s="15" t="str">
        <x:v>F03</x:v>
      </x:c>
      <x:c r="C9" s="15" t="str">
        <x:v>問い合わせ受付</x:v>
      </x:c>
      <x:c r="D9" s="15" t="str">
        <x:v>Webフォームで件名、内容、区分、対象サービス、添付ファイルを登録する。</x:v>
      </x:c>
      <x:c r="E9" s="15" t="str">
        <x:v>添付の容量・種類・件数、契約期間外の受付方法を確定する。</x:v>
      </x:c>
    </x:row>
    <x:row r="10" ht="45" customHeight="1">
      <x:c r="B10" s="17" t="str">
        <x:v>F04</x:v>
      </x:c>
      <x:c r="C10" s="17" t="str">
        <x:v>一覧と検索</x:v>
      </x:c>
      <x:c r="D10" s="17" t="str">
        <x:v>顧客、担当者、状態、期限、受付期間で絞り込む。</x:v>
      </x:c>
      <x:c r="E10" s="17" t="str">
        <x:v>サーバー側で所属と権限を確認し、検索でも他社の情報を返さない。</x:v>
      </x:c>
    </x:row>
    <x:row r="11" ht="45" customHeight="1">
      <x:c r="B11" s="15" t="str">
        <x:v>F05</x:v>
      </x:c>
      <x:c r="C11" s="15" t="str">
        <x:v>対応と履歴</x:v>
      </x:c>
      <x:c r="D11" s="15" t="str">
        <x:v>担当割当、状態変更、顧客向け返信、社内メモを記録する。</x:v>
      </x:c>
      <x:c r="E11" s="15" t="str">
        <x:v>社内メモは顧客へ公開しない。再開・解決・完了の条件を確定する。</x:v>
      </x:c>
    </x:row>
    <x:row r="12" ht="45" customHeight="1">
      <x:c r="B12" s="17" t="str">
        <x:v>F06</x:v>
      </x:c>
      <x:c r="C12" s="17" t="str">
        <x:v>初回返信期限</x:v>
      </x:c>
      <x:c r="D12" s="17" t="str">
        <x:v>契約の営業時間・休業日・目標時間から期限を計算し、接近・超過を表示する。</x:v>
      </x:c>
      <x:c r="E12" s="17" t="str">
        <x:v>解決期限は対象外。初回返信と認める操作、営業時間外の扱いを確定する。</x:v>
      </x:c>
    </x:row>
    <x:row r="13" ht="45" customHeight="1">
      <x:c r="B13" s="15" t="str">
        <x:v>F07</x:v>
      </x:c>
      <x:c r="C13" s="15" t="str">
        <x:v>通知</x:v>
      </x:c>
      <x:c r="D13" s="15" t="str">
        <x:v>新規受付、返信、担当割当、期限接近・超過を画面内通知とメールで知らせる。</x:v>
      </x:c>
      <x:c r="E13" s="15" t="str">
        <x:v>通知先と送信条件を定める。失敗記録と再送方法を用意する。</x:v>
      </x:c>
    </x:row>
    <x:row r="14" ht="45" customHeight="1">
      <x:c r="B14" s="17" t="str">
        <x:v>F08</x:v>
      </x:c>
      <x:c r="C14" s="17" t="str">
        <x:v>作業記録</x:v>
      </x:c>
      <x:c r="D14" s="17" t="str">
        <x:v>作業日、担当者、対応内容、作業時間を登録・参照する。</x:v>
      </x:c>
      <x:c r="E14" s="17" t="str">
        <x:v>報告と業務分析に使う。料金請求の自動化は行わない。</x:v>
      </x:c>
    </x:row>
    <x:row r="15" ht="45" customHeight="1">
      <x:c r="B15" s="15" t="str">
        <x:v>F09</x:v>
      </x:c>
      <x:c r="C15" s="15" t="str">
        <x:v>月次報告</x:v>
      </x:c>
      <x:c r="D15" s="15" t="str">
        <x:v>顧客別の対応一覧、件数、作業時間、期限遵守状況を画面・印刷・CSVで出力する。</x:v>
      </x:c>
      <x:c r="E15" s="15" t="str">
        <x:v>管理者確認後に顧客へ公開する。集計条件、訂正と公開履歴を定める。</x:v>
      </x:c>
    </x:row>
    <x:row r="16" ht="45" customHeight="1">
      <x:c r="B16" s="17" t="str">
        <x:v>F10</x:v>
      </x:c>
      <x:c r="C16" s="17" t="str">
        <x:v>集計画面</x:v>
      </x:c>
      <x:c r="D16" s="17" t="str">
        <x:v>未完了件数、期限超過件数、担当者別件数を表示する。</x:v>
      </x:c>
      <x:c r="E16" s="17" t="str">
        <x:v>元の案件・作業記録と数値が一致することを確認する。</x:v>
      </x:c>
    </x:row>
    <x:row r="17" ht="45" customHeight="1">
      <x:c r="B17" s="15" t="str">
        <x:v>F11</x:v>
      </x:c>
      <x:c r="C17" s="15" t="str">
        <x:v>操作履歴と運用</x:v>
      </x:c>
      <x:c r="D17" s="15" t="str">
        <x:v>重要な設定・案件変更の履歴、監視、障害ログ、バックアップを用意する。</x:v>
      </x:c>
      <x:c r="E17" s="15" t="str">
        <x:v>復元確認、保存期間、利用終了時の返却・削除の手順を確定する。</x:v>
      </x:c>
    </x:row>
    <x:row r="18">
      <x:c r="B18" s="1"/>
      <x:c r="C18" s="1"/>
      <x:c r="D18" s="1"/>
      <x:c r="E18" s="1"/>
    </x:row>
    <x:row r="19" ht="24.75" customHeight="1">
      <x:c r="B19" s="5" t="str">
        <x:v>2 初期版に含めない機能</x:v>
      </x:c>
      <x:c r="C19" s="5"/>
      <x:c r="D19" s="5"/>
      <x:c r="E19" s="5"/>
    </x:row>
    <x:row r="20" ht="30" customHeight="1">
      <x:c r="B20" s="12" t="str">
        <x:v>ID</x:v>
      </x:c>
      <x:c r="C20" s="19" t="str">
        <x:v>区分</x:v>
      </x:c>
      <x:c r="D20" s="19" t="str">
        <x:v>対象外とする内容</x:v>
      </x:c>
      <x:c r="E20" s="13" t="str">
        <x:v>扱い</x:v>
      </x:c>
    </x:row>
    <x:row r="21" ht="30" customHeight="1">
      <x:c r="B21" s="15" t="str">
        <x:v>N01</x:v>
      </x:c>
      <x:c r="C21" s="15" t="str">
        <x:v>受付の拡張</x:v>
      </x:c>
      <x:c r="D21" s="15" t="str">
        <x:v>メール自動取込、外部API受付、電話音声の取込。</x:v>
      </x:c>
      <x:c r="E21" s="15" t="str">
        <x:v>試行後の要望と効果を確認して次期候補とする。</x:v>
      </x:c>
    </x:row>
    <x:row r="22" ht="42" customHeight="1">
      <x:c r="B22" s="17" t="str">
        <x:v>N02</x:v>
      </x:c>
      <x:c r="C22" s="17" t="str">
        <x:v>期限の拡張</x:v>
      </x:c>
      <x:c r="D22" s="17" t="str">
        <x:v>解決期限、複数段階の期限、返信待ちの計時停止、複雑な契約別カレンダー。</x:v>
      </x:c>
      <x:c r="E22" s="17" t="str">
        <x:v>初期版は営業時間を考慮した初回返信期限に絞る。</x:v>
      </x:c>
    </x:row>
    <x:row r="23" ht="30" customHeight="1">
      <x:c r="B23" s="15" t="str">
        <x:v>N03</x:v>
      </x:c>
      <x:c r="C23" s="15" t="str">
        <x:v>連携と認証</x:v>
      </x:c>
      <x:c r="D23" s="15" t="str">
        <x:v>チャット連携、段階的エスカレーション、企業SSO。</x:v>
      </x:c>
      <x:c r="E23" s="15" t="str">
        <x:v>外部システムへの依存が増える機能は段階的に検討する。</x:v>
      </x:c>
    </x:row>
    <x:row r="24" ht="30" customHeight="1">
      <x:c r="B24" s="17" t="str">
        <x:v>N04</x:v>
      </x:c>
      <x:c r="C24" s="17" t="str">
        <x:v>契約と請求</x:v>
      </x:c>
      <x:c r="D24" s="17" t="str">
        <x:v>電子契約、請求・会計連携、自動決済、セルフサインアップ。</x:v>
      </x:c>
      <x:c r="E24" s="17" t="str">
        <x:v>保守会社の登録は運営者が行う。販売条件は別途決定する。</x:v>
      </x:c>
    </x:row>
    <x:row r="25" ht="30" customHeight="1">
      <x:c r="B25" s="15" t="str">
        <x:v>N05</x:v>
      </x:c>
      <x:c r="C25" s="15" t="str">
        <x:v>報告の拡張</x:v>
      </x:c>
      <x:c r="D25" s="15" t="str">
        <x:v>顧客別の帳票設定、自動公開、自動配信。</x:v>
      </x:c>
      <x:c r="E25" s="15" t="str">
        <x:v>定型月次報告を管理者確認後に公開する。</x:v>
      </x:c>
    </x:row>
    <x:row r="26" ht="42" customHeight="1">
      <x:c r="B26" s="17" t="str">
        <x:v>N06</x:v>
      </x:c>
      <x:c r="C26" s="17" t="str">
        <x:v>その他</x:v>
      </x:c>
      <x:c r="D26" s="17" t="str">
        <x:v>AIによる回答生成、資産管理全般、24時間の緊急対応保証。</x:v>
      </x:c>
      <x:c r="E26" s="17" t="str">
        <x:v>緊急時の電話などは既存運用を併用し、試行先と連絡手順を決める。</x:v>
      </x:c>
    </x:row>
    <x:row r="27">
      <x:c r="B27" s="1"/>
      <x:c r="C27" s="1"/>
      <x:c r="D27" s="1"/>
      <x:c r="E27" s="1"/>
    </x:row>
    <x:row r="28">
      <x:c r="B28" s="1"/>
      <x:c r="C28" s="1"/>
      <x:c r="D28" s="1"/>
      <x:c r="E28" s="1"/>
    </x:row>
    <x:row r="29">
      <x:c r="B29" s="1"/>
      <x:c r="C29" s="1"/>
      <x:c r="D29" s="1"/>
      <x:c r="E29" s="1"/>
    </x:row>
    <x:row r="30">
      <x:c r="B30" s="1"/>
      <x:c r="C30" s="1"/>
      <x:c r="D30" s="1"/>
      <x:c r="E30" s="1"/>
    </x:row>
    <x:row r="31">
      <x:c r="B31" s="1"/>
      <x:c r="C31" s="1"/>
      <x:c r="D31" s="1"/>
      <x:c r="E31" s="1"/>
    </x:row>
    <x:row r="32">
      <x:c r="B32" s="1"/>
      <x:c r="C32" s="1"/>
      <x:c r="D32" s="1"/>
      <x:c r="E32" s="1"/>
    </x:row>
    <x:row r="33">
      <x:c r="B33" s="1"/>
      <x:c r="C33" s="1"/>
      <x:c r="D33" s="1"/>
      <x:c r="E33" s="1"/>
    </x:row>
    <x:row r="34">
      <x:c r="B34" s="1"/>
      <x:c r="C34" s="1"/>
      <x:c r="D34" s="1"/>
      <x:c r="E34" s="1"/>
    </x:row>
    <x:row r="35">
      <x:c r="B35" s="1"/>
      <x:c r="C35" s="1"/>
      <x:c r="D35" s="1"/>
      <x:c r="E35" s="1"/>
    </x:row>
    <x:row r="36">
      <x:c r="B36" s="1"/>
      <x:c r="C36" s="1"/>
      <x:c r="D36" s="1"/>
      <x:c r="E36" s="1"/>
    </x:row>
    <x:row r="37">
      <x:c r="B37" s="1"/>
      <x:c r="C37" s="1"/>
      <x:c r="D37" s="1"/>
      <x:c r="E37" s="1"/>
    </x:row>
    <x:row r="38">
      <x:c r="B38" s="1"/>
      <x:c r="C38" s="1"/>
      <x:c r="D38" s="1"/>
      <x:c r="E38" s="1"/>
    </x:row>
    <x:row r="39">
      <x:c r="B39" s="1"/>
      <x:c r="C39" s="1"/>
      <x:c r="D39" s="1"/>
      <x:c r="E39" s="1"/>
    </x:row>
    <x:row r="40">
      <x:c r="B40" s="1"/>
      <x:c r="C40" s="1"/>
      <x:c r="D40" s="1"/>
      <x:c r="E40" s="1"/>
    </x:row>
    <x:row r="41">
      <x:c r="B41" s="1"/>
      <x:c r="C41" s="1"/>
      <x:c r="D41" s="1"/>
      <x:c r="E41" s="1"/>
    </x:row>
    <x:row r="42">
      <x:c r="B42" s="1"/>
      <x:c r="C42" s="1"/>
      <x:c r="D42" s="1"/>
      <x:c r="E42" s="1"/>
    </x:row>
    <x:row r="43">
      <x:c r="B43" s="1"/>
      <x:c r="C43" s="1"/>
      <x:c r="D43" s="1"/>
      <x:c r="E43" s="1"/>
    </x:row>
    <x:row r="44">
      <x:c r="B44" s="1"/>
      <x:c r="C44" s="1"/>
      <x:c r="D44" s="1"/>
      <x:c r="E44" s="1"/>
    </x:row>
    <x:row r="45">
      <x:c r="B45" s="1"/>
      <x:c r="C45" s="1"/>
      <x:c r="D45" s="1"/>
      <x:c r="E45" s="1"/>
    </x:row>
    <x:row r="46">
      <x:c r="B46" s="1"/>
      <x:c r="C46" s="1"/>
      <x:c r="D46" s="1"/>
      <x:c r="E46" s="1"/>
    </x:row>
    <x:row r="47">
      <x:c r="B47" s="1"/>
      <x:c r="C47" s="1"/>
      <x:c r="D47" s="1"/>
      <x:c r="E47" s="1"/>
    </x:row>
    <x:row r="48">
      <x:c r="B48" s="1"/>
      <x:c r="C48" s="1"/>
      <x:c r="D48" s="1"/>
      <x:c r="E48" s="1"/>
    </x:row>
    <x:row r="49">
      <x:c r="B49" s="1"/>
      <x:c r="C49" s="1"/>
      <x:c r="D49" s="1"/>
      <x:c r="E49" s="1"/>
    </x:row>
    <x:row r="50">
      <x:c r="B50" s="1"/>
      <x:c r="C50" s="1"/>
      <x:c r="D50" s="1"/>
      <x:c r="E50" s="1"/>
    </x:row>
    <x:row r="51">
      <x:c r="B51" s="1"/>
      <x:c r="C51" s="1"/>
      <x:c r="D51" s="1"/>
      <x:c r="E51" s="1"/>
    </x:row>
    <x:row r="52">
      <x:c r="B52" s="1"/>
      <x:c r="C52" s="1"/>
      <x:c r="D52" s="1"/>
      <x:c r="E52" s="1"/>
    </x:row>
    <x:row r="53">
      <x:c r="B53" s="1"/>
      <x:c r="C53" s="1"/>
      <x:c r="D53" s="1"/>
      <x:c r="E53" s="1"/>
    </x:row>
    <x:row r="54">
      <x:c r="B54" s="1"/>
      <x:c r="C54" s="1"/>
      <x:c r="D54" s="1"/>
      <x:c r="E54" s="1"/>
    </x:row>
    <x:row r="55">
      <x:c r="B55" s="1"/>
      <x:c r="C55" s="1"/>
      <x:c r="D55" s="1"/>
      <x:c r="E55" s="1"/>
    </x:row>
    <x:row r="56">
      <x:c r="B56" s="1"/>
      <x:c r="C56" s="1"/>
      <x:c r="D56" s="1"/>
      <x:c r="E56" s="1"/>
    </x:row>
    <x:row r="57">
      <x:c r="B57" s="1"/>
      <x:c r="C57" s="1"/>
      <x:c r="D57" s="1"/>
      <x:c r="E57" s="1"/>
    </x:row>
    <x:row r="58">
      <x:c r="B58" s="1"/>
      <x:c r="C58" s="1"/>
      <x:c r="D58" s="1"/>
      <x:c r="E58" s="1"/>
    </x:row>
    <x:row r="59">
      <x:c r="B59" s="1"/>
      <x:c r="C59" s="1"/>
      <x:c r="D59" s="1"/>
      <x:c r="E59" s="1"/>
    </x:row>
    <x:row r="60">
      <x:c r="B60" s="1"/>
      <x:c r="C60" s="1"/>
      <x:c r="D60" s="1"/>
      <x:c r="E60" s="1"/>
    </x:row>
    <x:row r="61">
      <x:c r="B61" s="1"/>
      <x:c r="C61" s="1"/>
      <x:c r="D61" s="1"/>
      <x:c r="E61" s="1"/>
    </x:row>
    <x:row r="62">
      <x:c r="B62" s="1"/>
      <x:c r="C62" s="1"/>
      <x:c r="D62" s="1"/>
      <x:c r="E62" s="1"/>
    </x:row>
    <x:row r="63">
      <x:c r="B63" s="1"/>
      <x:c r="C63" s="1"/>
      <x:c r="D63" s="1"/>
      <x:c r="E63" s="1"/>
    </x:row>
    <x:row r="64">
      <x:c r="B64" s="1"/>
      <x:c r="C64" s="1"/>
      <x:c r="D64" s="1"/>
      <x:c r="E64" s="1"/>
    </x:row>
    <x:row r="65">
      <x:c r="B65" s="1"/>
      <x:c r="C65" s="1"/>
      <x:c r="D65" s="1"/>
      <x:c r="E65" s="1"/>
    </x:row>
    <x:row r="66">
      <x:c r="B66" s="1"/>
      <x:c r="C66" s="1"/>
      <x:c r="D66" s="1"/>
      <x:c r="E66" s="1"/>
    </x:row>
    <x:row r="67">
      <x:c r="B67" s="1"/>
      <x:c r="C67" s="1"/>
      <x:c r="D67" s="1"/>
      <x:c r="E67" s="1"/>
    </x:row>
    <x:row r="68">
      <x:c r="B68" s="1"/>
      <x:c r="C68" s="1"/>
      <x:c r="D68" s="1"/>
      <x:c r="E68" s="1"/>
    </x:row>
    <x:row r="69">
      <x:c r="B69" s="1"/>
      <x:c r="C69" s="1"/>
      <x:c r="D69" s="1"/>
      <x:c r="E69" s="1"/>
    </x:row>
    <x:row r="70">
      <x:c r="B70" s="1"/>
      <x:c r="C70" s="1"/>
      <x:c r="D70" s="1"/>
      <x:c r="E70" s="1"/>
    </x:row>
    <x:row r="71">
      <x:c r="B71" s="1"/>
      <x:c r="C71" s="1"/>
      <x:c r="D71" s="1"/>
      <x:c r="E71" s="1"/>
    </x:row>
    <x:row r="72">
      <x:c r="B72" s="1"/>
      <x:c r="C72" s="1"/>
      <x:c r="D72" s="1"/>
      <x:c r="E72" s="1"/>
    </x:row>
    <x:row r="73">
      <x:c r="B73" s="1"/>
      <x:c r="C73" s="1"/>
      <x:c r="D73" s="1"/>
      <x:c r="E73" s="1"/>
    </x:row>
    <x:row r="74">
      <x:c r="B74" s="1"/>
      <x:c r="C74" s="1"/>
      <x:c r="D74" s="1"/>
      <x:c r="E74" s="1"/>
    </x:row>
    <x:row r="75">
      <x:c r="B75" s="1"/>
      <x:c r="C75" s="1"/>
      <x:c r="D75" s="1"/>
      <x:c r="E75" s="1"/>
    </x:row>
    <x:row r="76">
      <x:c r="B76" s="1"/>
      <x:c r="C76" s="1"/>
      <x:c r="D76" s="1"/>
      <x:c r="E76" s="1"/>
    </x:row>
    <x:row r="77">
      <x:c r="B77" s="1"/>
      <x:c r="C77" s="1"/>
      <x:c r="D77" s="1"/>
      <x:c r="E77" s="1"/>
    </x:row>
    <x:row r="78">
      <x:c r="B78" s="1"/>
      <x:c r="C78" s="1"/>
      <x:c r="D78" s="1"/>
      <x:c r="E78" s="1"/>
    </x:row>
    <x:row r="79">
      <x:c r="B79" s="1"/>
      <x:c r="C79" s="1"/>
      <x:c r="D79" s="1"/>
      <x:c r="E79" s="1"/>
    </x:row>
    <x:row r="80">
      <x:c r="B80" s="1"/>
      <x:c r="C80" s="1"/>
      <x:c r="D80" s="1"/>
      <x:c r="E80" s="1"/>
    </x:row>
    <x:row r="81">
      <x:c r="B81" s="1"/>
      <x:c r="C81" s="1"/>
      <x:c r="D81" s="1"/>
      <x:c r="E81" s="1"/>
    </x:row>
    <x:row r="82">
      <x:c r="B82" s="1"/>
      <x:c r="C82" s="1"/>
      <x:c r="D82" s="1"/>
      <x:c r="E82" s="1"/>
    </x:row>
    <x:row r="83">
      <x:c r="B83" s="1"/>
      <x:c r="C83" s="1"/>
      <x:c r="D83" s="1"/>
      <x:c r="E83" s="1"/>
    </x:row>
    <x:row r="84">
      <x:c r="B84" s="1"/>
      <x:c r="C84" s="1"/>
      <x:c r="D84" s="1"/>
      <x:c r="E84" s="1"/>
    </x:row>
    <x:row r="85">
      <x:c r="B85" s="1"/>
      <x:c r="C85" s="1"/>
      <x:c r="D85" s="1"/>
      <x:c r="E85" s="1"/>
    </x:row>
    <x:row r="86">
      <x:c r="B86" s="1"/>
      <x:c r="C86" s="1"/>
      <x:c r="D86" s="1"/>
      <x:c r="E86" s="1"/>
    </x:row>
    <x:row r="87">
      <x:c r="B87" s="1"/>
      <x:c r="C87" s="1"/>
      <x:c r="D87" s="1"/>
      <x:c r="E87" s="1"/>
    </x:row>
    <x:row r="88">
      <x:c r="B88" s="1"/>
      <x:c r="C88" s="1"/>
      <x:c r="D88" s="1"/>
      <x:c r="E88" s="1"/>
    </x:row>
    <x:row r="89">
      <x:c r="B89" s="1"/>
      <x:c r="C89" s="1"/>
      <x:c r="D89" s="1"/>
      <x:c r="E89" s="1"/>
    </x:row>
    <x:row r="90">
      <x:c r="B90" s="1"/>
      <x:c r="C90" s="1"/>
      <x:c r="D90" s="1"/>
      <x:c r="E9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75" hidden="0" customWidth="1"/>
    <x:col min="2" max="2" width="6.880000114440918" hidden="0" customWidth="1"/>
    <x:col min="3" max="3" width="20.6299991607666" hidden="0" customWidth="1"/>
    <x:col min="4" max="4" width="8.130000114440918" hidden="0" customWidth="1"/>
    <x:col min="5" max="5" width="10" hidden="0" customWidth="1"/>
    <x:col min="6" max="6" width="8.130000114440918" hidden="0" customWidth="1"/>
    <x:col min="7" max="7" width="8.130000114440918" hidden="0" customWidth="1"/>
    <x:col min="8" max="8" width="13.75" hidden="0" customWidth="1"/>
    <x:col min="9" max="9" width="13.75" hidden="0" customWidth="1"/>
    <x:col min="10" max="10" width="33.130001068115234" hidden="0" customWidth="1"/>
    <x:col min="11" max="11" width="41.25" hidden="0" customWidth="1"/>
  </x:cols>
  <x:sheetData>
    <x:row r="1" ht="9" customHeight="1"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.5" customHeight="1">
      <x:c r="B2" s="3" t="str">
        <x:v>工程計画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20.25" customHeight="1">
      <x:c r="B3" s="4" t="str">
        <x:v>週数と工数の単位は週・時間。黄色のセルは更新用の入力。日付は暦日で計算する。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1" customHeight="1">
      <x:c r="B6" s="1"/>
      <x:c r="C6" s="1" t="str">
        <x:v>週あたり作業時間</x:v>
      </x:c>
      <x:c r="D6" s="20" t="n">
        <x:v>15</x:v>
      </x:c>
      <x:c r="E6" s="1" t="str">
        <x:v>時間</x:v>
      </x:c>
      <x:c r="F6" s="1"/>
      <x:c r="G6" s="1"/>
      <x:c r="H6" s="1"/>
      <x:c r="I6" s="1" t="str">
        <x:v>開発開始日</x:v>
      </x:c>
      <x:c r="J6" s="21"/>
      <x:c r="K6" s="1" t="str">
        <x:v>未入力の間は工程の日付を空欄にする。</x:v>
      </x:c>
    </x:row>
    <x:row r="7" ht="21" customHeight="1">
      <x:c r="B7" s="1"/>
      <x:c r="C7" s="4" t="str">
        <x:v>工程の週数は整数で入力する。1週は7暦日とし、休日を除く稼働日数は表さない。</x:v>
      </x:c>
      <x:c r="D7" s="1"/>
      <x:c r="E7" s="1"/>
      <x:c r="F7" s="1"/>
      <x:c r="G7" s="1"/>
      <x:c r="H7" s="1"/>
      <x:c r="I7" s="1"/>
      <x:c r="J7" s="1"/>
      <x:c r="K7" s="1"/>
    </x:row>
    <x:row r="8"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4.75" customHeight="1">
      <x:c r="B9" s="5" t="str">
        <x:v>1 工程別の作業と成果物</x:v>
      </x:c>
      <x:c r="C9" s="5"/>
      <x:c r="D9" s="5"/>
      <x:c r="E9" s="5"/>
      <x:c r="F9" s="5"/>
      <x:c r="G9" s="5"/>
      <x:c r="H9" s="5"/>
      <x:c r="I9" s="5"/>
      <x:c r="J9" s="5"/>
      <x:c r="K9" s="5"/>
    </x:row>
    <x:row r="10" ht="30" customHeight="1">
      <x:c r="B10" s="12" t="str">
        <x:v>ID</x:v>
      </x:c>
      <x:c r="C10" s="19" t="str">
        <x:v>工程</x:v>
      </x:c>
      <x:c r="D10" s="19" t="str">
        <x:v>期間
週</x:v>
      </x:c>
      <x:c r="E10" s="19" t="str">
        <x:v>工数
時間</x:v>
      </x:c>
      <x:c r="F10" s="19" t="str">
        <x:v>開始
週</x:v>
      </x:c>
      <x:c r="G10" s="19" t="str">
        <x:v>終了
週</x:v>
      </x:c>
      <x:c r="H10" s="19" t="str">
        <x:v>開始日</x:v>
      </x:c>
      <x:c r="I10" s="19" t="str">
        <x:v>終了日</x:v>
      </x:c>
      <x:c r="J10" s="19" t="str">
        <x:v>主な成果物</x:v>
      </x:c>
      <x:c r="K10" s="13" t="str">
        <x:v>工程完了の条件</x:v>
      </x:c>
    </x:row>
    <x:row r="11" ht="57" customHeight="1">
      <x:c r="B11" s="15" t="str">
        <x:v>P01</x:v>
      </x:c>
      <x:c r="C11" s="15" t="str">
        <x:v>企画</x:v>
      </x:c>
      <x:c r="D11" s="26" t="n">
        <x:v>1</x:v>
      </x:c>
      <x:c r="E11" s="24" t="n">
        <x:f>IF($D$6="","",D11*$D$6)</x:f>
        <x:v>15</x:v>
      </x:c>
      <x:c r="F11" s="24" t="n">
        <x:f>1</x:f>
        <x:v>1</x:v>
      </x:c>
      <x:c r="G11" s="24" t="n">
        <x:f>F11+D11-1</x:f>
        <x:v>1</x:v>
      </x:c>
      <x:c r="H11" s="27" t="str">
        <x:f>IF($J$6="","",$J$6+(F11-1)*7)</x:f>
      </x:c>
      <x:c r="I11" s="27" t="str">
        <x:f>IF($J$6="","",$J$6+G11*7-1)</x:f>
      </x:c>
      <x:c r="J11" s="15" t="str">
        <x:v>企画書、プロジェクト計画書</x:v>
      </x:c>
      <x:c r="K11" s="15" t="str">
        <x:v>対象企業、目的、初期版の範囲、工数の前提が明確である。</x:v>
      </x:c>
    </x:row>
    <x:row r="12" ht="57" customHeight="1">
      <x:c r="B12" s="17" t="str">
        <x:v>P02</x:v>
      </x:c>
      <x:c r="C12" s="17" t="str">
        <x:v>要件定義</x:v>
      </x:c>
      <x:c r="D12" s="26" t="n">
        <x:v>2</x:v>
      </x:c>
      <x:c r="E12" s="25" t="n">
        <x:f>IF($D$6="","",D12*$D$6)</x:f>
        <x:v>30</x:v>
      </x:c>
      <x:c r="F12" s="25" t="n">
        <x:f>G11+1</x:f>
        <x:v>2</x:v>
      </x:c>
      <x:c r="G12" s="25" t="n">
        <x:f>F12+D12-1</x:f>
        <x:v>3</x:v>
      </x:c>
      <x:c r="H12" s="18" t="str">
        <x:f>IF($J$6="","",$J$6+(F12-1)*7)</x:f>
      </x:c>
      <x:c r="I12" s="18" t="str">
        <x:f>IF($J$6="","",$J$6+G12*7-1)</x:f>
      </x:c>
      <x:c r="J12" s="17" t="str">
        <x:v>要件定義書、業務フロー、機能・非機能要件、ユースケース</x:v>
      </x:c>
      <x:c r="K12" s="17" t="str">
        <x:v>業務ルール、権限、対象外、測定可能な受入条件を確定する。</x:v>
      </x:c>
    </x:row>
    <x:row r="13" ht="57" customHeight="1">
      <x:c r="B13" s="15" t="str">
        <x:v>P03</x:v>
      </x:c>
      <x:c r="C13" s="15" t="str">
        <x:v>基本設計</x:v>
      </x:c>
      <x:c r="D13" s="26" t="n">
        <x:v>2</x:v>
      </x:c>
      <x:c r="E13" s="24" t="n">
        <x:f>IF($D$6="","",D13*$D$6)</x:f>
        <x:v>30</x:v>
      </x:c>
      <x:c r="F13" s="24" t="n">
        <x:f>G12+1</x:f>
        <x:v>4</x:v>
      </x:c>
      <x:c r="G13" s="24" t="n">
        <x:f>F13+D13-1</x:f>
        <x:v>5</x:v>
      </x:c>
      <x:c r="H13" s="27" t="str">
        <x:f>IF($J$6="","",$J$6+(F13-1)*7)</x:f>
      </x:c>
      <x:c r="I13" s="27" t="str">
        <x:f>IF($J$6="","",$J$6+G13*7-1)</x:f>
      </x:c>
      <x:c r="J13" s="15" t="str">
        <x:v>画面一覧・画面遷移・画面設計、帳票概要、論理ER図、構成図</x:v>
      </x:c>
      <x:c r="K13" s="15" t="str">
        <x:v>各要件に画面・データ・実現方法が対応し、見積もりを見直す。</x:v>
      </x:c>
    </x:row>
    <x:row r="14" ht="57" customHeight="1">
      <x:c r="B14" s="17" t="str">
        <x:v>P04</x:v>
      </x:c>
      <x:c r="C14" s="17" t="str">
        <x:v>詳細設計</x:v>
      </x:c>
      <x:c r="D14" s="26" t="n">
        <x:v>2</x:v>
      </x:c>
      <x:c r="E14" s="25" t="n">
        <x:f>IF($D$6="","",D14*$D$6)</x:f>
        <x:v>30</x:v>
      </x:c>
      <x:c r="F14" s="25" t="n">
        <x:f>G13+1</x:f>
        <x:v>6</x:v>
      </x:c>
      <x:c r="G14" s="25" t="n">
        <x:f>F14+D14-1</x:f>
        <x:v>7</x:v>
      </x:c>
      <x:c r="H14" s="18" t="str">
        <x:f>IF($J$6="","",$J$6+(F14-1)*7)</x:f>
      </x:c>
      <x:c r="I14" s="18" t="str">
        <x:f>IF($J$6="","",$J$6+G14*7-1)</x:f>
      </x:c>
      <x:c r="J14" s="17" t="str">
        <x:v>テーブル定義、クラス図、主要処理のシーケンス図、権限・例外設計</x:v>
      </x:c>
      <x:c r="K14" s="17" t="str">
        <x:v>期限計算、情報分離、通知と集計を境界条件まで実装できる。</x:v>
      </x:c>
    </x:row>
    <x:row r="15" ht="57" customHeight="1">
      <x:c r="B15" s="15" t="str">
        <x:v>P05</x:v>
      </x:c>
      <x:c r="C15" s="15" t="str">
        <x:v>実装と単体テスト</x:v>
      </x:c>
      <x:c r="D15" s="26" t="n">
        <x:v>6</x:v>
      </x:c>
      <x:c r="E15" s="24" t="n">
        <x:f>IF($D$6="","",D15*$D$6)</x:f>
        <x:v>90</x:v>
      </x:c>
      <x:c r="F15" s="24" t="n">
        <x:f>G14+1</x:f>
        <x:v>8</x:v>
      </x:c>
      <x:c r="G15" s="24" t="n">
        <x:f>F15+D15-1</x:f>
        <x:v>13</x:v>
      </x:c>
      <x:c r="H15" s="27" t="str">
        <x:f>IF($J$6="","",$J$6+(F15-1)*7)</x:f>
      </x:c>
      <x:c r="I15" s="27" t="str">
        <x:f>IF($J$6="","",$J$6+G15*7-1)</x:f>
      </x:c>
      <x:c r="J15" s="15" t="str">
        <x:v>ソースコード、DB変更、単体テスト仕様と実行結果</x:v>
      </x:c>
      <x:c r="K15" s="15" t="str">
        <x:v>各処理が設計どおりに動き、主要な分岐と異常系を確認する。</x:v>
      </x:c>
    </x:row>
    <x:row r="16" ht="57" customHeight="1">
      <x:c r="B16" s="17" t="str">
        <x:v>P06</x:v>
      </x:c>
      <x:c r="C16" s="17" t="str">
        <x:v>結合テスト</x:v>
      </x:c>
      <x:c r="D16" s="26" t="n">
        <x:v>2</x:v>
      </x:c>
      <x:c r="E16" s="25" t="n">
        <x:f>IF($D$6="","",D16*$D$6)</x:f>
        <x:v>30</x:v>
      </x:c>
      <x:c r="F16" s="25" t="n">
        <x:f>G15+1</x:f>
        <x:v>14</x:v>
      </x:c>
      <x:c r="G16" s="25" t="n">
        <x:f>F16+D16-1</x:f>
        <x:v>15</x:v>
      </x:c>
      <x:c r="H16" s="18" t="str">
        <x:f>IF($J$6="","",$J$6+(F16-1)*7)</x:f>
      </x:c>
      <x:c r="I16" s="18" t="str">
        <x:f>IF($J$6="","",$J$6+G16*7-1)</x:f>
      </x:c>
      <x:c r="J16" s="17" t="str">
        <x:v>結合テスト仕様と結果、不具合・修正記録</x:v>
      </x:c>
      <x:c r="K16" s="17" t="str">
        <x:v>画面、認証、DB、添付、通知、月次報告の連携が動く。</x:v>
      </x:c>
    </x:row>
    <x:row r="17" ht="57" customHeight="1">
      <x:c r="B17" s="15" t="str">
        <x:v>P07</x:v>
      </x:c>
      <x:c r="C17" s="15" t="str">
        <x:v>総合テストと試行準備</x:v>
      </x:c>
      <x:c r="D17" s="26" t="n">
        <x:v>2</x:v>
      </x:c>
      <x:c r="E17" s="24" t="n">
        <x:f>IF($D$6="","",D17*$D$6)</x:f>
        <x:v>30</x:v>
      </x:c>
      <x:c r="F17" s="24" t="n">
        <x:f>G16+1</x:f>
        <x:v>16</x:v>
      </x:c>
      <x:c r="G17" s="24" t="n">
        <x:f>F17+D17-1</x:f>
        <x:v>17</x:v>
      </x:c>
      <x:c r="H17" s="27" t="str">
        <x:f>IF($J$6="","",$J$6+(F17-1)*7)</x:f>
      </x:c>
      <x:c r="I17" s="27" t="str">
        <x:f>IF($J$6="","",$J$6+G17*7-1)</x:f>
      </x:c>
      <x:c r="J17" s="15" t="str">
        <x:v>総合・受入テスト結果、操作説明、運用・復元・導入手順</x:v>
      </x:c>
      <x:c r="K17" s="15" t="str">
        <x:v>業務全体、越境アクセス拒否、性能、復元を確認し、試行条件を整える。</x:v>
      </x:c>
    </x:row>
    <x:row r="18" ht="57" customHeight="1">
      <x:c r="B18" s="17" t="str">
        <x:v>P08</x:v>
      </x:c>
      <x:c r="C18" s="17" t="str">
        <x:v>導入と評価準備</x:v>
      </x:c>
      <x:c r="D18" s="26" t="n">
        <x:v>1</x:v>
      </x:c>
      <x:c r="E18" s="25" t="n">
        <x:f>IF($D$6="","",D18*$D$6)</x:f>
        <x:v>15</x:v>
      </x:c>
      <x:c r="F18" s="25" t="n">
        <x:f>G17+1</x:f>
        <x:v>18</x:v>
      </x:c>
      <x:c r="G18" s="25" t="n">
        <x:f>F18+D18-1</x:f>
        <x:v>18</x:v>
      </x:c>
      <x:c r="H18" s="18" t="str">
        <x:f>IF($J$6="","",$J$6+(F18-1)*7)</x:f>
      </x:c>
      <x:c r="I18" s="18" t="str">
        <x:f>IF($J$6="","",$J$6+G18*7-1)</x:f>
      </x:c>
      <x:c r="J18" s="17" t="str">
        <x:v>導入記録、操作説明記録、試行開始記録、評価計画</x:v>
      </x:c>
      <x:c r="K18" s="17" t="str">
        <x:v>限定した試行を開始し、対象案件・測定条件・評価日程を合意する。</x:v>
      </x:c>
    </x:row>
    <x:row r="19" ht="57" customHeight="1">
      <x:c r="B19" s="15" t="str">
        <x:v>P09</x:v>
      </x:c>
      <x:c r="C19" s="15" t="str">
        <x:v>予備</x:v>
      </x:c>
      <x:c r="D19" s="26" t="n">
        <x:v>4</x:v>
      </x:c>
      <x:c r="E19" s="24" t="n">
        <x:f>IF($D$6="","",D19*$D$6)</x:f>
        <x:v>60</x:v>
      </x:c>
      <x:c r="F19" s="24" t="n">
        <x:f>G18+1</x:f>
        <x:v>19</x:v>
      </x:c>
      <x:c r="G19" s="24" t="n">
        <x:f>F19+D19-1</x:f>
        <x:v>22</x:v>
      </x:c>
      <x:c r="H19" s="27" t="str">
        <x:f>IF($J$6="","",$J$6+(F19-1)*7)</x:f>
      </x:c>
      <x:c r="I19" s="27" t="str">
        <x:f>IF($J$6="","",$J$6+G19*7-1)</x:f>
      </x:c>
      <x:c r="J19" s="15" t="str">
        <x:v>修正記録、更新した成果物と工程計画</x:v>
      </x:c>
      <x:c r="K19" s="15" t="str">
        <x:v>必要な修正・学習・技術検証に使う。使用理由と影響を記録する。</x:v>
      </x:c>
    </x:row>
    <x:row r="20" ht="26.25" customHeight="1">
      <x:c r="B20" s="29"/>
      <x:c r="C20" s="29" t="str">
        <x:v>通常工程 合計</x:v>
      </x:c>
      <x:c r="D20" s="30" t="n">
        <x:f>SUM(D11:D18)</x:f>
        <x:v>18</x:v>
      </x:c>
      <x:c r="E20" s="30" t="n">
        <x:f>SUM(E11:E18)</x:f>
        <x:v>270</x:v>
      </x:c>
      <x:c r="F20" s="29"/>
      <x:c r="G20" s="29"/>
      <x:c r="H20" s="29"/>
      <x:c r="I20" s="29"/>
      <x:c r="J20" s="29"/>
      <x:c r="K20" s="29"/>
    </x:row>
    <x:row r="21" ht="26.25" customHeight="1">
      <x:c r="B21" s="29"/>
      <x:c r="C21" s="29" t="str">
        <x:v>予備を含む合計</x:v>
      </x:c>
      <x:c r="D21" s="30" t="n">
        <x:f>SUM(D11:D19)</x:f>
        <x:v>22</x:v>
      </x:c>
      <x:c r="E21" s="30" t="n">
        <x:f>SUM(E11:E19)</x:f>
        <x:v>330</x:v>
      </x:c>
      <x:c r="F21" s="29"/>
      <x:c r="G21" s="29"/>
      <x:c r="H21" s="29"/>
      <x:c r="I21" s="29"/>
      <x:c r="J21" s="29"/>
      <x:c r="K21" s="29"/>
    </x:row>
    <x:row r="22"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0.25" customHeight="1">
      <x:c r="B23" s="4"/>
      <x:c r="C23" s="4" t="str">
        <x:v>担当は全工程で開発者本人。各工程の完了時に自己レビューを行い、必要に応じ試行先や協力者の確認を受ける。</x:v>
      </x:c>
      <x:c r="D23" s="4"/>
      <x:c r="E23" s="4"/>
      <x:c r="F23" s="4"/>
      <x:c r="G23" s="4"/>
      <x:c r="H23" s="4"/>
      <x:c r="I23" s="4"/>
      <x:c r="J23" s="4"/>
      <x:c r="K23" s="4"/>
    </x:row>
    <x:row r="24" ht="20.25" customHeight="1">
      <x:c r="B24" s="4"/>
      <x:c r="C24" s="4" t="str">
        <x:v>予備4週は全体で共用する。途中工程で使った場合は後続工程の日程を更新し、通常工程との二重計上を避ける。</x:v>
      </x:c>
      <x:c r="D24" s="4"/>
      <x:c r="E24" s="4"/>
      <x:c r="F24" s="4"/>
      <x:c r="G24" s="4"/>
      <x:c r="H24" s="4"/>
      <x:c r="I24" s="4"/>
      <x:c r="J24" s="4"/>
      <x:c r="K24" s="4"/>
    </x:row>
    <x:row r="25"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4.75" customHeight="1">
      <x:c r="B26" s="5" t="str">
        <x:v>2 マイルストーン</x:v>
      </x:c>
      <x:c r="C26" s="5"/>
      <x:c r="D26" s="5"/>
      <x:c r="E26" s="5"/>
      <x:c r="F26" s="5"/>
      <x:c r="G26" s="5"/>
      <x:c r="H26" s="5"/>
      <x:c r="I26" s="5"/>
      <x:c r="J26" s="5"/>
      <x:c r="K26" s="5"/>
    </x:row>
    <x:row r="27" ht="30" customHeight="1">
      <x:c r="B27" s="12" t="str">
        <x:v>ID</x:v>
      </x:c>
      <x:c r="C27" s="19" t="str">
        <x:v>確認時点</x:v>
      </x:c>
      <x:c r="D27" s="19" t="str">
        <x:v>対象
工程</x:v>
      </x:c>
      <x:c r="E27" s="19" t="str">
        <x:v>前提
工程</x:v>
      </x:c>
      <x:c r="F27" s="19" t="str">
        <x:v>判定</x:v>
      </x:c>
      <x:c r="G27" s="19" t="str">
        <x:v>完了
週</x:v>
      </x:c>
      <x:c r="H27" s="19" t="str">
        <x:v>確認日</x:v>
      </x:c>
      <x:c r="I27" s="19" t="str">
        <x:v>判定者</x:v>
      </x:c>
      <x:c r="J27" s="19" t="str">
        <x:v>確認する内容</x:v>
      </x:c>
      <x:c r="K27" s="13" t="str">
        <x:v>記録する事項</x:v>
      </x:c>
    </x:row>
    <x:row r="28" ht="46.5" customHeight="1">
      <x:c r="B28" s="15" t="str">
        <x:v>M01</x:v>
      </x:c>
      <x:c r="C28" s="15" t="str">
        <x:v>要件確定</x:v>
      </x:c>
      <x:c r="D28" s="15" t="str">
        <x:v>P02</x:v>
      </x:c>
      <x:c r="E28" s="15" t="str">
        <x:v>P01</x:v>
      </x:c>
      <x:c r="F28" s="31" t="str">
        <x:v>未判定</x:v>
      </x:c>
      <x:c r="G28" s="15" t="n">
        <x:f>G12</x:f>
        <x:v>3</x:v>
      </x:c>
      <x:c r="H28" s="27" t="str">
        <x:f>IF(I12="","",I12)</x:f>
      </x:c>
      <x:c r="I28" s="15" t="str">
        <x:v>開発者</x:v>
      </x:c>
      <x:c r="J28" s="15" t="str">
        <x:v>P02完了時に範囲・業務ルール・受入条件を確定する。</x:v>
      </x:c>
      <x:c r="K28" s="15" t="str">
        <x:v>試行先の業務確認結果、未解決事項、見積もり更新。</x:v>
      </x:c>
    </x:row>
    <x:row r="29" ht="46.5" customHeight="1">
      <x:c r="B29" s="17" t="str">
        <x:v>M02</x:v>
      </x:c>
      <x:c r="C29" s="17" t="str">
        <x:v>設計完了</x:v>
      </x:c>
      <x:c r="D29" s="17" t="str">
        <x:v>P04</x:v>
      </x:c>
      <x:c r="E29" s="17" t="str">
        <x:v>P03</x:v>
      </x:c>
      <x:c r="F29" s="31" t="str">
        <x:v>未判定</x:v>
      </x:c>
      <x:c r="G29" s="17" t="n">
        <x:f>G14</x:f>
        <x:v>7</x:v>
      </x:c>
      <x:c r="H29" s="18" t="str">
        <x:f>IF(I14="","",I14)</x:f>
      </x:c>
      <x:c r="I29" s="17" t="str">
        <x:v>開発者</x:v>
      </x:c>
      <x:c r="J29" s="17" t="str">
        <x:v>P04完了時に画面・DB・クラス・処理の整合を確認する。</x:v>
      </x:c>
      <x:c r="K29" s="17" t="str">
        <x:v>要件との対応、技術検証結果、修正事項。</x:v>
      </x:c>
    </x:row>
    <x:row r="30" ht="46.5" customHeight="1">
      <x:c r="B30" s="15" t="str">
        <x:v>M03</x:v>
      </x:c>
      <x:c r="C30" s="15" t="str">
        <x:v>実装完了</x:v>
      </x:c>
      <x:c r="D30" s="15" t="str">
        <x:v>P05</x:v>
      </x:c>
      <x:c r="E30" s="15" t="str">
        <x:v>P04</x:v>
      </x:c>
      <x:c r="F30" s="31" t="str">
        <x:v>未判定</x:v>
      </x:c>
      <x:c r="G30" s="15" t="n">
        <x:f>G15</x:f>
        <x:v>13</x:v>
      </x:c>
      <x:c r="H30" s="27" t="str">
        <x:f>IF(I15="","",I15)</x:f>
      </x:c>
      <x:c r="I30" s="15" t="str">
        <x:v>開発者</x:v>
      </x:c>
      <x:c r="J30" s="15" t="str">
        <x:v>P05完了時に実装と単体テスト結果を確認する。</x:v>
      </x:c>
      <x:c r="K30" s="15" t="str">
        <x:v>主要機能の実行結果、残る不具合。</x:v>
      </x:c>
    </x:row>
    <x:row r="31" ht="46.5" customHeight="1">
      <x:c r="B31" s="17" t="str">
        <x:v>M04</x:v>
      </x:c>
      <x:c r="C31" s="17" t="str">
        <x:v>試行可否判定</x:v>
      </x:c>
      <x:c r="D31" s="17" t="str">
        <x:v>P07</x:v>
      </x:c>
      <x:c r="E31" s="17" t="str">
        <x:v>P06</x:v>
      </x:c>
      <x:c r="F31" s="31" t="str">
        <x:v>未判定</x:v>
      </x:c>
      <x:c r="G31" s="17" t="n">
        <x:f>G17</x:f>
        <x:v>17</x:v>
      </x:c>
      <x:c r="H31" s="18" t="str">
        <x:f>IF(I17="","",I17)</x:f>
      </x:c>
      <x:c r="I31" s="17" t="str">
        <x:v>開発者・試行先</x:v>
      </x:c>
      <x:c r="J31" s="17" t="str">
        <x:v>P07完了時に品質と受入シートの条件を確認する。</x:v>
      </x:c>
      <x:c r="K31" s="17" t="str">
        <x:v>試行対象、運用担当、重大不具合、復元確認。</x:v>
      </x:c>
    </x:row>
    <x:row r="32" ht="46.5" customHeight="1">
      <x:c r="B32" s="15" t="str">
        <x:v>M05</x:v>
      </x:c>
      <x:c r="C32" s="15" t="str">
        <x:v>試行開始</x:v>
      </x:c>
      <x:c r="D32" s="15" t="str">
        <x:v>P08</x:v>
      </x:c>
      <x:c r="E32" s="15" t="str">
        <x:v>P07</x:v>
      </x:c>
      <x:c r="F32" s="31" t="str">
        <x:v>未判定</x:v>
      </x:c>
      <x:c r="G32" s="15" t="n">
        <x:f>G18</x:f>
        <x:v>18</x:v>
      </x:c>
      <x:c r="H32" s="27" t="str">
        <x:f>IF(I18="","",I18)</x:f>
      </x:c>
      <x:c r="I32" s="15" t="str">
        <x:v>開発者・試行先</x:v>
      </x:c>
      <x:c r="J32" s="15" t="str">
        <x:v>P08完了時に操作説明と測定準備を完了する。</x:v>
      </x:c>
      <x:c r="K32" s="15" t="str">
        <x:v>開始記録、慣熟期間と1か月の測定期間の日程。</x:v>
      </x:c>
    </x:row>
    <x:row r="33"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dataValidations count="3">
    <x:dataValidation type="decimal" operator="greaterThan" sqref="D6">
      <x:formula1>0</x:formula1>
    </x:dataValidation>
    <x:dataValidation type="whole" operator="greaterThan" sqref="D11:D19">
      <x:formula1>0</x:formula1>
    </x:dataValidation>
    <x:dataValidation type="list" sqref="F28:F32">
      <x:formula1>"未判定,確認中,承認,差戻し"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5" hidden="0" customWidth="1"/>
    <x:col min="2" max="2" width="21.8799991607666" hidden="0" customWidth="1"/>
    <x:col min="3" max="3" width="33.75" hidden="0" customWidth="1"/>
    <x:col min="4" max="4" width="56.25" hidden="0" customWidth="1"/>
    <x:col min="5" max="5" width="39.380001068115234" hidden="0" customWidth="1"/>
  </x:cols>
  <x:sheetData>
    <x:row r="1" ht="9" customHeight="1">
      <x:c r="B1" s="1"/>
      <x:c r="C1" s="1"/>
      <x:c r="D1" s="1"/>
      <x:c r="E1" s="1"/>
    </x:row>
    <x:row r="2" ht="25.5" customHeight="1">
      <x:c r="B2" s="3" t="str">
        <x:v>体制と管理</x:v>
      </x:c>
      <x:c r="C2" s="3"/>
      <x:c r="D2" s="3"/>
      <x:c r="E2" s="3"/>
    </x:row>
    <x:row r="3" ht="20.25" customHeight="1">
      <x:c r="B3" s="4" t="str">
        <x:v>開発責任、進捗、変更、費用とリリースの管理方針</x:v>
      </x:c>
      <x:c r="C3" s="4"/>
      <x:c r="D3" s="4"/>
      <x:c r="E3" s="4"/>
    </x:row>
    <x:row r="4">
      <x:c r="B4" s="1"/>
      <x:c r="C4" s="1"/>
      <x:c r="D4" s="1"/>
      <x:c r="E4" s="1"/>
    </x:row>
    <x:row r="5" ht="24.75" customHeight="1">
      <x:c r="B5" s="5" t="str">
        <x:v>1 役割と責任</x:v>
      </x:c>
      <x:c r="C5" s="5"/>
      <x:c r="D5" s="5"/>
      <x:c r="E5" s="5"/>
    </x:row>
    <x:row r="6" ht="30" customHeight="1">
      <x:c r="B6" s="12" t="str">
        <x:v>役割</x:v>
      </x:c>
      <x:c r="C6" s="19" t="str">
        <x:v>担当</x:v>
      </x:c>
      <x:c r="D6" s="19" t="str">
        <x:v>責任と作業</x:v>
      </x:c>
      <x:c r="E6" s="13" t="str">
        <x:v>確認する成果物</x:v>
      </x:c>
    </x:row>
    <x:row r="7" ht="30" customHeight="1">
      <x:c r="B7" s="15" t="str">
        <x:v>プロジェクト責任者</x:v>
      </x:c>
      <x:c r="C7" s="15" t="str">
        <x:v>開発者本人</x:v>
      </x:c>
      <x:c r="D7" s="15" t="str">
        <x:v>範囲、日程、予算、品質、変更、完成判定を管理する。</x:v>
      </x:c>
      <x:c r="E7" s="15" t="str">
        <x:v>計画、要件、工程レビュー、試行可否。</x:v>
      </x:c>
    </x:row>
    <x:row r="8" ht="42" customHeight="1">
      <x:c r="B8" s="17" t="str">
        <x:v>設計・実装・テスト担当</x:v>
      </x:c>
      <x:c r="C8" s="17" t="str">
        <x:v>開発者本人</x:v>
      </x:c>
      <x:c r="D8" s="17" t="str">
        <x:v>企画、設計、実装、テスト、導入手順、技術検証を行う。</x:v>
      </x:c>
      <x:c r="E8" s="17" t="str">
        <x:v>設計書、ソースコード、テスト結果。</x:v>
      </x:c>
    </x:row>
    <x:row r="9" ht="42" customHeight="1">
      <x:c r="B9" s="15" t="str">
        <x:v>試行先の業務確認者</x:v>
      </x:c>
      <x:c r="C9" s="15" t="str">
        <x:v>候補企業の保守部門責任者 未定</x:v>
      </x:c>
      <x:c r="D9" s="15" t="str">
        <x:v>契約ルール、報告書、試行範囲、受入条件、効果目標を確認する。</x:v>
      </x:c>
      <x:c r="E9" s="15" t="str">
        <x:v>業務要件、デモ、報告書、試行計画。</x:v>
      </x:c>
    </x:row>
    <x:row r="10" ht="30" customHeight="1">
      <x:c r="B10" s="17" t="str">
        <x:v>レビュー協力者</x:v>
      </x:c>
      <x:c r="C10" s="17" t="str">
        <x:v>必要に応じて確保 未定</x:v>
      </x:c>
      <x:c r="D10" s="17" t="str">
        <x:v>権限、期限計算、DB設計と業務全体の妥当性を確認する。</x:v>
      </x:c>
      <x:c r="E10" s="17" t="str">
        <x:v>設計、テスト観点、重大な修正。</x:v>
      </x:c>
    </x:row>
    <x:row r="11" ht="42" customHeight="1">
      <x:c r="B11" s="15" t="str">
        <x:v>運用担当</x:v>
      </x:c>
      <x:c r="C11" s="15" t="str">
        <x:v>当初は開発者本人を想定</x:v>
      </x:c>
      <x:c r="D11" s="15" t="str">
        <x:v>監視、バックアップ、障害対応、利用者支援を行う。対応時間は試行前に定める。</x:v>
      </x:c>
      <x:c r="E11" s="15" t="str">
        <x:v>運用手順、復元記録、連絡先。</x:v>
      </x:c>
    </x:row>
    <x:row r="12">
      <x:c r="B12" s="1"/>
      <x:c r="C12" s="1"/>
      <x:c r="D12" s="1"/>
      <x:c r="E12" s="1"/>
    </x:row>
    <x:row r="13" ht="24.75" customHeight="1">
      <x:c r="B13" s="5" t="str">
        <x:v>2 進捗と変更の管理</x:v>
      </x:c>
      <x:c r="C13" s="5"/>
      <x:c r="D13" s="5"/>
      <x:c r="E13" s="5"/>
    </x:row>
    <x:row r="14" ht="30" customHeight="1">
      <x:c r="B14" s="12" t="str">
        <x:v>管理項目</x:v>
      </x:c>
      <x:c r="C14" s="19" t="str">
        <x:v>頻度と実施時点</x:v>
      </x:c>
      <x:c r="D14" s="19" t="str">
        <x:v>実施方法</x:v>
      </x:c>
      <x:c r="E14" s="13" t="str">
        <x:v>記録する内容</x:v>
      </x:c>
    </x:row>
    <x:row r="15" ht="42" customHeight="1">
      <x:c r="B15" s="15" t="str">
        <x:v>進捗と工数</x:v>
      </x:c>
      <x:c r="C15" s="15" t="str">
        <x:v>毎週</x:v>
      </x:c>
      <x:c r="D15" s="15" t="str">
        <x:v>成果物単位で完了・作業中・未着手を確認し、予定と実績を比較する。</x:v>
      </x:c>
      <x:c r="E15" s="15" t="str">
        <x:v>実作業時間、残作業、遅延理由、翌週の作業。</x:v>
      </x:c>
    </x:row>
    <x:row r="16" ht="42" customHeight="1">
      <x:c r="B16" s="17" t="str">
        <x:v>工程レビュー</x:v>
      </x:c>
      <x:c r="C16" s="17" t="str">
        <x:v>各工程の完了時</x:v>
      </x:c>
      <x:c r="D16" s="17" t="str">
        <x:v>前工程の内容との整合、完了条件、未解決事項を確認して次工程へ進む。</x:v>
      </x:c>
      <x:c r="E16" s="17" t="str">
        <x:v>レビュー結果、修正事項、移行判断。</x:v>
      </x:c>
    </x:row>
    <x:row r="17" ht="42" customHeight="1">
      <x:c r="B17" s="15" t="str">
        <x:v>計画の見直し</x:v>
      </x:c>
      <x:c r="C17" s="15" t="str">
        <x:v>要件定義・基本設計の完了時、遅延が判明した時</x:v>
      </x:c>
      <x:c r="D17" s="15" t="str">
        <x:v>残工数を再見積もりし、予備の使用と初期範囲・日程を調整する。</x:v>
      </x:c>
      <x:c r="E17" s="15" t="str">
        <x:v>更新理由、対象工程、残り予備、計画の版。</x:v>
      </x:c>
    </x:row>
    <x:row r="18" ht="42" customHeight="1">
      <x:c r="B18" s="17" t="str">
        <x:v>仕様の変更</x:v>
      </x:c>
      <x:c r="C18" s="17" t="str">
        <x:v>変更要求が発生した時</x:v>
      </x:c>
      <x:c r="D18" s="17" t="str">
        <x:v>理由、対象要件、設計・実装・テスト・日程への影響を調べ、実施または次期対応を決める。</x:v>
      </x:c>
      <x:c r="E18" s="17" t="str">
        <x:v>変更ID、要求者、理由、追加工数、判断、更新先。</x:v>
      </x:c>
    </x:row>
    <x:row r="19" ht="42" customHeight="1">
      <x:c r="B19" s="15" t="str">
        <x:v>不具合</x:v>
      </x:c>
      <x:c r="C19" s="15" t="str">
        <x:v>検出から再確認まで</x:v>
      </x:c>
      <x:c r="D19" s="15" t="str">
        <x:v>再現条件、重要度、原因、修正、再テスト結果を追跡する。</x:v>
      </x:c>
      <x:c r="E19" s="15" t="str">
        <x:v>不具合ID、影響、対応者、修正内容、再確認。</x:v>
      </x:c>
    </x:row>
    <x:row r="20" ht="42" customHeight="1">
      <x:c r="B20" s="17" t="str">
        <x:v>構成と文書</x:v>
      </x:c>
      <x:c r="C20" s="17" t="str">
        <x:v>変更時とリリース時</x:v>
      </x:c>
      <x:c r="D20" s="17" t="str">
        <x:v>ソースと文書を版管理し、DB変更、設定、試行向けのリリース版を記録する。</x:v>
      </x:c>
      <x:c r="E20" s="17" t="str">
        <x:v>版番号、変更履歴、設定、DB変更と戻し手順。</x:v>
      </x:c>
    </x:row>
    <x:row r="21">
      <x:c r="B21" s="1"/>
      <x:c r="C21" s="1"/>
      <x:c r="D21" s="1"/>
      <x:c r="E21" s="1"/>
    </x:row>
    <x:row r="22" ht="24.75" customHeight="1">
      <x:c r="B22" s="5" t="str">
        <x:v>3 工数と費用の管理</x:v>
      </x:c>
      <x:c r="C22" s="5"/>
      <x:c r="D22" s="5"/>
      <x:c r="E22" s="5"/>
    </x:row>
    <x:row r="23" ht="30" customHeight="1">
      <x:c r="B23" s="12" t="str">
        <x:v>費用区分</x:v>
      </x:c>
      <x:c r="C23" s="19" t="str">
        <x:v>見積もり対象</x:v>
      </x:c>
      <x:c r="D23" s="19" t="str">
        <x:v>確定時期と担当</x:v>
      </x:c>
      <x:c r="E23" s="13" t="str">
        <x:v>現時点の扱い</x:v>
      </x:c>
    </x:row>
    <x:row r="24" ht="42" customHeight="1">
      <x:c r="B24" s="15" t="str">
        <x:v>開発作業</x:v>
      </x:c>
      <x:c r="C24" s="15" t="str">
        <x:v>工程計画の時間</x:v>
      </x:c>
      <x:c r="D24" s="15" t="str">
        <x:v>開発者 要件・基本設計完了時に更新する。</x:v>
      </x:c>
      <x:c r="E24" s="15" t="str">
        <x:f>"通常"&amp;'03_工程計画'!E20&amp;"時間＋予備"&amp;'03_工程計画'!E19&amp;"時間。外注費は未設定。"</x:f>
        <x:v>通常270時間＋予備60時間。外注費は未設定。</x:v>
      </x:c>
    </x:row>
    <x:row r="25" ht="42" customHeight="1">
      <x:c r="B25" s="17" t="str">
        <x:v>実行環境とDB</x:v>
      </x:c>
      <x:c r="C25" s="17" t="str">
        <x:v>アプリ、DB、開発・試行環境</x:v>
      </x:c>
      <x:c r="D25" s="17" t="str">
        <x:v>開発者 基本設計で構成を決め、試行前に見積もる。</x:v>
      </x:c>
      <x:c r="E25" s="17" t="str">
        <x:v>金額未確定。提供環境・利用規模から見積もる。</x:v>
      </x:c>
    </x:row>
    <x:row r="26" ht="30" customHeight="1">
      <x:c r="B26" s="15" t="str">
        <x:v>ファイルとメール</x:v>
      </x:c>
      <x:c r="C26" s="15" t="str">
        <x:v>添付保存、メール送信量</x:v>
      </x:c>
      <x:c r="D26" s="15" t="str">
        <x:v>開発者 容量・送信条件が決まった時に見積もる。</x:v>
      </x:c>
      <x:c r="E26" s="15" t="str">
        <x:v>金額未確定。制限値と使用量を確認する。</x:v>
      </x:c>
    </x:row>
    <x:row r="27" ht="30" customHeight="1">
      <x:c r="B27" s="17" t="str">
        <x:v>監視とバックアップ</x:v>
      </x:c>
      <x:c r="C27" s="17" t="str">
        <x:v>監視、ログ保存、復元</x:v>
      </x:c>
      <x:c r="D27" s="17" t="str">
        <x:v>開発者 保存期間・復旧目標が決まった時に見積もる。</x:v>
      </x:c>
      <x:c r="E27" s="17" t="str">
        <x:v>金額未確定。運用に必要な作業も含める。</x:v>
      </x:c>
    </x:row>
    <x:row r="28" ht="30" customHeight="1">
      <x:c r="B28" s="15" t="str">
        <x:v>ドメインなど</x:v>
      </x:c>
      <x:c r="C28" s="15" t="str">
        <x:v>ドメイン、その他の利用サービス</x:v>
      </x:c>
      <x:c r="D28" s="15" t="str">
        <x:v>開発者 試行環境の決定時。</x:v>
      </x:c>
      <x:c r="E28" s="15" t="str">
        <x:v>必要な項目と金額を別途確定する。</x:v>
      </x:c>
    </x:row>
    <x:row r="29" ht="30" customHeight="1">
      <x:c r="B29" s="17" t="str">
        <x:v>継続運用と評価</x:v>
      </x:c>
      <x:c r="C29" s="17" t="str">
        <x:v>利用者支援、慣熟支援、効果測定</x:v>
      </x:c>
      <x:c r="D29" s="17" t="str">
        <x:v>開発者・試行先 試行開始前。</x:v>
      </x:c>
      <x:c r="E29" s="17" t="str">
        <x:v>工程計画の開発見積もりとは別に計上する。</x:v>
      </x:c>
    </x:row>
    <x:row r="30">
      <x:c r="B30" s="1"/>
      <x:c r="C30" s="1"/>
      <x:c r="D30" s="1"/>
      <x:c r="E30" s="1"/>
    </x:row>
    <x:row r="31" ht="24.75" customHeight="1">
      <x:c r="B31" s="5" t="str">
        <x:v>4 技術と導入の方針</x:v>
      </x:c>
      <x:c r="C31" s="5"/>
      <x:c r="D31" s="5"/>
      <x:c r="E31" s="5"/>
    </x:row>
    <x:row r="32" ht="30" customHeight="1">
      <x:c r="B32" s="12" t="str">
        <x:v>項目</x:v>
      </x:c>
      <x:c r="C32" s="19" t="str">
        <x:v>方針</x:v>
      </x:c>
      <x:c r="D32" s="19" t="str">
        <x:v>実施内容</x:v>
      </x:c>
      <x:c r="E32" s="13" t="str">
        <x:v>確定時点</x:v>
      </x:c>
    </x:row>
    <x:row r="33" ht="42" customHeight="1">
      <x:c r="B33" s="15" t="str">
        <x:v>技術構成</x:v>
      </x:c>
      <x:c r="C33" s="15" t="str">
        <x:v>Java・Spring Boot中心の単一アプリケーション</x:v>
      </x:c>
      <x:c r="D33" s="15" t="str">
        <x:v>候補はSpring Security、Spring Data JPA、PostgreSQL、Thymeleaf。通知と集計も同じアプリ内で実現する。</x:v>
      </x:c>
      <x:c r="E33" s="15" t="str">
        <x:v>構成、バージョン、メール方式、保存先は設計で確定。</x:v>
      </x:c>
    </x:row>
    <x:row r="34" ht="42" customHeight="1">
      <x:c r="B34" s="17" t="str">
        <x:v>試行の準備</x:v>
      </x:c>
      <x:c r="C34" s="17" t="str">
        <x:v>保守会社1社、対象顧客と案件を限定</x:v>
      </x:c>
      <x:c r="D34" s="17" t="str">
        <x:v>利用者・顧客・契約を登録し、操作説明、連絡先、サポート時間、測定方法を整える。</x:v>
      </x:c>
      <x:c r="E34" s="17" t="str">
        <x:v>試行開始前。</x:v>
      </x:c>
    </x:row>
    <x:row r="35" ht="42" customHeight="1">
      <x:c r="B35" s="15" t="str">
        <x:v>リリース</x:v>
      </x:c>
      <x:c r="C35" s="15" t="str">
        <x:v>開発・試行環境を分ける</x:v>
      </x:c>
      <x:c r="D35" s="15" t="str">
        <x:v>導入手順、DB変更、バックアップ、復元または前版に戻す手順、稼働確認を用意する。</x:v>
      </x:c>
      <x:c r="E35" s="15" t="str">
        <x:v>総合テストと試行準備の完了時。</x:v>
      </x:c>
    </x:row>
    <x:row r="36" ht="42" customHeight="1">
      <x:c r="B36" s="17" t="str">
        <x:v>有償提供</x:v>
      </x:c>
      <x:c r="C36" s="17" t="str">
        <x:v>試行結果をもとに別途判断する</x:v>
      </x:c>
      <x:c r="D36" s="17" t="str">
        <x:v>業務適合、効果、重大不具合、復元確認、提供条件、サポート可能な範囲を確認する。</x:v>
      </x:c>
      <x:c r="E36" s="17" t="str">
        <x:v>試行評価後。料金と開始日は未定。</x:v>
      </x:c>
    </x:row>
    <x:row r="37">
      <x:c r="B37" s="1"/>
      <x:c r="C37" s="1"/>
      <x:c r="D37" s="1"/>
      <x:c r="E37" s="1"/>
    </x:row>
    <x:row r="38">
      <x:c r="B38" s="1"/>
      <x:c r="C38" s="1"/>
      <x:c r="D38" s="1"/>
      <x:c r="E38" s="1"/>
    </x:row>
    <x:row r="39">
      <x:c r="B39" s="1"/>
      <x:c r="C39" s="1"/>
      <x:c r="D39" s="1"/>
      <x:c r="E39" s="1"/>
    </x:row>
    <x:row r="40">
      <x:c r="B40" s="1"/>
      <x:c r="C40" s="1"/>
      <x:c r="D40" s="1"/>
      <x:c r="E40" s="1"/>
    </x:row>
    <x:row r="41">
      <x:c r="B41" s="1"/>
      <x:c r="C41" s="1"/>
      <x:c r="D41" s="1"/>
      <x:c r="E41" s="1"/>
    </x:row>
    <x:row r="42">
      <x:c r="B42" s="1"/>
      <x:c r="C42" s="1"/>
      <x:c r="D42" s="1"/>
      <x:c r="E42" s="1"/>
    </x:row>
    <x:row r="43">
      <x:c r="B43" s="1"/>
      <x:c r="C43" s="1"/>
      <x:c r="D43" s="1"/>
      <x:c r="E43" s="1"/>
    </x:row>
    <x:row r="44">
      <x:c r="B44" s="1"/>
      <x:c r="C44" s="1"/>
      <x:c r="D44" s="1"/>
      <x:c r="E44" s="1"/>
    </x:row>
    <x:row r="45">
      <x:c r="B45" s="1"/>
      <x:c r="C45" s="1"/>
      <x:c r="D45" s="1"/>
      <x:c r="E45" s="1"/>
    </x:row>
    <x:row r="46">
      <x:c r="B46" s="1"/>
      <x:c r="C46" s="1"/>
      <x:c r="D46" s="1"/>
      <x:c r="E46" s="1"/>
    </x:row>
    <x:row r="47">
      <x:c r="B47" s="1"/>
      <x:c r="C47" s="1"/>
      <x:c r="D47" s="1"/>
      <x:c r="E47" s="1"/>
    </x:row>
    <x:row r="48">
      <x:c r="B48" s="1"/>
      <x:c r="C48" s="1"/>
      <x:c r="D48" s="1"/>
      <x:c r="E48" s="1"/>
    </x:row>
    <x:row r="49">
      <x:c r="B49" s="1"/>
      <x:c r="C49" s="1"/>
      <x:c r="D49" s="1"/>
      <x:c r="E49" s="1"/>
    </x:row>
    <x:row r="50">
      <x:c r="B50" s="1"/>
      <x:c r="C50" s="1"/>
      <x:c r="D50" s="1"/>
      <x:c r="E50" s="1"/>
    </x:row>
    <x:row r="51">
      <x:c r="B51" s="1"/>
      <x:c r="C51" s="1"/>
      <x:c r="D51" s="1"/>
      <x:c r="E51" s="1"/>
    </x:row>
    <x:row r="52">
      <x:c r="B52" s="1"/>
      <x:c r="C52" s="1"/>
      <x:c r="D52" s="1"/>
      <x:c r="E52" s="1"/>
    </x:row>
    <x:row r="53">
      <x:c r="B53" s="1"/>
      <x:c r="C53" s="1"/>
      <x:c r="D53" s="1"/>
      <x:c r="E53" s="1"/>
    </x:row>
    <x:row r="54">
      <x:c r="B54" s="1"/>
      <x:c r="C54" s="1"/>
      <x:c r="D54" s="1"/>
      <x:c r="E54" s="1"/>
    </x:row>
    <x:row r="55">
      <x:c r="B55" s="1"/>
      <x:c r="C55" s="1"/>
      <x:c r="D55" s="1"/>
      <x:c r="E55" s="1"/>
    </x:row>
    <x:row r="56">
      <x:c r="B56" s="1"/>
      <x:c r="C56" s="1"/>
      <x:c r="D56" s="1"/>
      <x:c r="E56" s="1"/>
    </x:row>
    <x:row r="57">
      <x:c r="B57" s="1"/>
      <x:c r="C57" s="1"/>
      <x:c r="D57" s="1"/>
      <x:c r="E57" s="1"/>
    </x:row>
    <x:row r="58">
      <x:c r="B58" s="1"/>
      <x:c r="C58" s="1"/>
      <x:c r="D58" s="1"/>
      <x:c r="E58" s="1"/>
    </x:row>
    <x:row r="59">
      <x:c r="B59" s="1"/>
      <x:c r="C59" s="1"/>
      <x:c r="D59" s="1"/>
      <x:c r="E59" s="1"/>
    </x:row>
    <x:row r="60">
      <x:c r="B60" s="1"/>
      <x:c r="C60" s="1"/>
      <x:c r="D60" s="1"/>
      <x:c r="E60" s="1"/>
    </x:row>
    <x:row r="61">
      <x:c r="B61" s="1"/>
      <x:c r="C61" s="1"/>
      <x:c r="D61" s="1"/>
      <x:c r="E61" s="1"/>
    </x:row>
    <x:row r="62">
      <x:c r="B62" s="1"/>
      <x:c r="C62" s="1"/>
      <x:c r="D62" s="1"/>
      <x:c r="E62" s="1"/>
    </x:row>
    <x:row r="63">
      <x:c r="B63" s="1"/>
      <x:c r="C63" s="1"/>
      <x:c r="D63" s="1"/>
      <x:c r="E63" s="1"/>
    </x:row>
    <x:row r="64">
      <x:c r="B64" s="1"/>
      <x:c r="C64" s="1"/>
      <x:c r="D64" s="1"/>
      <x:c r="E64" s="1"/>
    </x:row>
    <x:row r="65">
      <x:c r="B65" s="1"/>
      <x:c r="C65" s="1"/>
      <x:c r="D65" s="1"/>
      <x:c r="E65" s="1"/>
    </x:row>
    <x:row r="66">
      <x:c r="B66" s="1"/>
      <x:c r="C66" s="1"/>
      <x:c r="D66" s="1"/>
      <x:c r="E66" s="1"/>
    </x:row>
    <x:row r="67">
      <x:c r="B67" s="1"/>
      <x:c r="C67" s="1"/>
      <x:c r="D67" s="1"/>
      <x:c r="E67" s="1"/>
    </x:row>
    <x:row r="68">
      <x:c r="B68" s="1"/>
      <x:c r="C68" s="1"/>
      <x:c r="D68" s="1"/>
      <x:c r="E68" s="1"/>
    </x:row>
    <x:row r="69">
      <x:c r="B69" s="1"/>
      <x:c r="C69" s="1"/>
      <x:c r="D69" s="1"/>
      <x:c r="E69" s="1"/>
    </x:row>
    <x:row r="70">
      <x:c r="B70" s="1"/>
      <x:c r="C70" s="1"/>
      <x:c r="D70" s="1"/>
      <x:c r="E70" s="1"/>
    </x:row>
    <x:row r="71">
      <x:c r="B71" s="1"/>
      <x:c r="C71" s="1"/>
      <x:c r="D71" s="1"/>
      <x:c r="E71" s="1"/>
    </x:row>
    <x:row r="72">
      <x:c r="B72" s="1"/>
      <x:c r="C72" s="1"/>
      <x:c r="D72" s="1"/>
      <x:c r="E72" s="1"/>
    </x:row>
    <x:row r="73">
      <x:c r="B73" s="1"/>
      <x:c r="C73" s="1"/>
      <x:c r="D73" s="1"/>
      <x:c r="E73" s="1"/>
    </x:row>
    <x:row r="74">
      <x:c r="B74" s="1"/>
      <x:c r="C74" s="1"/>
      <x:c r="D74" s="1"/>
      <x:c r="E74" s="1"/>
    </x:row>
    <x:row r="75">
      <x:c r="B75" s="1"/>
      <x:c r="C75" s="1"/>
      <x:c r="D75" s="1"/>
      <x:c r="E75" s="1"/>
    </x:row>
    <x:row r="76">
      <x:c r="B76" s="1"/>
      <x:c r="C76" s="1"/>
      <x:c r="D76" s="1"/>
      <x:c r="E76" s="1"/>
    </x:row>
    <x:row r="77">
      <x:c r="B77" s="1"/>
      <x:c r="C77" s="1"/>
      <x:c r="D77" s="1"/>
      <x:c r="E77" s="1"/>
    </x:row>
    <x:row r="78">
      <x:c r="B78" s="1"/>
      <x:c r="C78" s="1"/>
      <x:c r="D78" s="1"/>
      <x:c r="E78" s="1"/>
    </x:row>
    <x:row r="79">
      <x:c r="B79" s="1"/>
      <x:c r="C79" s="1"/>
      <x:c r="D79" s="1"/>
      <x:c r="E79" s="1"/>
    </x:row>
    <x:row r="80">
      <x:c r="B80" s="1"/>
      <x:c r="C80" s="1"/>
      <x:c r="D80" s="1"/>
      <x:c r="E80" s="1"/>
    </x:row>
    <x:row r="81">
      <x:c r="B81" s="1"/>
      <x:c r="C81" s="1"/>
      <x:c r="D81" s="1"/>
      <x:c r="E81" s="1"/>
    </x:row>
    <x:row r="82">
      <x:c r="B82" s="1"/>
      <x:c r="C82" s="1"/>
      <x:c r="D82" s="1"/>
      <x:c r="E82" s="1"/>
    </x:row>
    <x:row r="83">
      <x:c r="B83" s="1"/>
      <x:c r="C83" s="1"/>
      <x:c r="D83" s="1"/>
      <x:c r="E83" s="1"/>
    </x:row>
    <x:row r="84">
      <x:c r="B84" s="1"/>
      <x:c r="C84" s="1"/>
      <x:c r="D84" s="1"/>
      <x:c r="E84" s="1"/>
    </x:row>
    <x:row r="85">
      <x:c r="B85" s="1"/>
      <x:c r="C85" s="1"/>
      <x:c r="D85" s="1"/>
      <x:c r="E85" s="1"/>
    </x:row>
    <x:row r="86">
      <x:c r="B86" s="1"/>
      <x:c r="C86" s="1"/>
      <x:c r="D86" s="1"/>
      <x:c r="E86" s="1"/>
    </x:row>
    <x:row r="87">
      <x:c r="B87" s="1"/>
      <x:c r="C87" s="1"/>
      <x:c r="D87" s="1"/>
      <x:c r="E87" s="1"/>
    </x:row>
    <x:row r="88">
      <x:c r="B88" s="1"/>
      <x:c r="C88" s="1"/>
      <x:c r="D88" s="1"/>
      <x:c r="E88" s="1"/>
    </x:row>
    <x:row r="89">
      <x:c r="B89" s="1"/>
      <x:c r="C89" s="1"/>
      <x:c r="D89" s="1"/>
      <x:c r="E89" s="1"/>
    </x:row>
    <x:row r="90">
      <x:c r="B90" s="1"/>
      <x:c r="C90" s="1"/>
      <x:c r="D90" s="1"/>
      <x:c r="E9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75" hidden="0" customWidth="1"/>
    <x:col min="2" max="2" width="7.5" hidden="0" customWidth="1"/>
    <x:col min="3" max="3" width="21.25" hidden="0" customWidth="1"/>
    <x:col min="4" max="4" width="66.87999725341797" hidden="0" customWidth="1"/>
    <x:col min="5" max="5" width="40.630001068115234" hidden="0" customWidth="1"/>
    <x:col min="6" max="6" width="15" hidden="0" customWidth="1"/>
  </x:cols>
  <x:sheetData>
    <x:row r="1" ht="9" customHeight="1">
      <x:c r="B1" s="1"/>
      <x:c r="C1" s="1"/>
      <x:c r="D1" s="1"/>
      <x:c r="E1" s="1"/>
      <x:c r="F1" s="1"/>
    </x:row>
    <x:row r="2" ht="25.5" customHeight="1">
      <x:c r="B2" s="3" t="str">
        <x:v>品質と受入</x:v>
      </x:c>
      <x:c r="C2" s="3"/>
      <x:c r="D2" s="3"/>
      <x:c r="E2" s="3"/>
      <x:c r="F2" s="3"/>
    </x:row>
    <x:row r="3" ht="20.25" customHeight="1">
      <x:c r="B3" s="4" t="str">
        <x:v>初期版の完成判定と、試行開始前に確認する条件</x:v>
      </x:c>
      <x:c r="C3" s="4"/>
      <x:c r="D3" s="4"/>
      <x:c r="E3" s="4"/>
      <x:c r="F3" s="4"/>
    </x:row>
    <x:row r="4">
      <x:c r="B4" s="1"/>
      <x:c r="C4" s="1"/>
      <x:c r="D4" s="1"/>
      <x:c r="E4" s="1"/>
      <x:c r="F4" s="1"/>
    </x:row>
    <x:row r="5" ht="24.75" customHeight="1">
      <x:c r="B5" s="5" t="str">
        <x:v>1 テストの実施方針</x:v>
      </x:c>
      <x:c r="C5" s="5"/>
      <x:c r="D5" s="5"/>
      <x:c r="E5" s="5"/>
      <x:c r="F5" s="5"/>
    </x:row>
    <x:row r="6" ht="30" customHeight="1">
      <x:c r="B6" s="12" t="str">
        <x:v>ID</x:v>
      </x:c>
      <x:c r="C6" s="19" t="str">
        <x:v>段階</x:v>
      </x:c>
      <x:c r="D6" s="19" t="str">
        <x:v>確認する内容</x:v>
      </x:c>
      <x:c r="E6" s="19" t="str">
        <x:v>主な証跡</x:v>
      </x:c>
      <x:c r="F6" s="13" t="str">
        <x:v>担当</x:v>
      </x:c>
    </x:row>
    <x:row r="7" ht="30" customHeight="1">
      <x:c r="B7" s="15" t="str">
        <x:v>T01</x:v>
      </x:c>
      <x:c r="C7" s="15" t="str">
        <x:v>単体テスト</x:v>
      </x:c>
      <x:c r="D7" s="15" t="str">
        <x:v>期限計算、入力検証、権限判定、状態遷移、作業時間・件数の集計と異常系。</x:v>
      </x:c>
      <x:c r="E7" s="15" t="str">
        <x:v>単体テスト仕様、期待値、実行結果。</x:v>
      </x:c>
      <x:c r="F7" s="15" t="str">
        <x:v>開発者</x:v>
      </x:c>
    </x:row>
    <x:row r="8" ht="30" customHeight="1">
      <x:c r="B8" s="17" t="str">
        <x:v>T02</x:v>
      </x:c>
      <x:c r="C8" s="17" t="str">
        <x:v>結合テスト</x:v>
      </x:c>
      <x:c r="D8" s="17" t="str">
        <x:v>画面・認証・DB・添付・通知・報告の連携。再送、更新競合、通知失敗。</x:v>
      </x:c>
      <x:c r="E8" s="17" t="str">
        <x:v>結合テスト仕様、ログ、修正と再確認記録。</x:v>
      </x:c>
      <x:c r="F8" s="17" t="str">
        <x:v>開発者</x:v>
      </x:c>
    </x:row>
    <x:row r="9" ht="30" customHeight="1">
      <x:c r="B9" s="15" t="str">
        <x:v>T03</x:v>
      </x:c>
      <x:c r="C9" s="15" t="str">
        <x:v>総合テスト</x:v>
      </x:c>
      <x:c r="D9" s="15" t="str">
        <x:v>受付から月次報告までの業務、複数テナント・顧客の情報分離、性能と復元。</x:v>
      </x:c>
      <x:c r="E9" s="15" t="str">
        <x:v>総合テスト仕様、測定条件、復元記録。</x:v>
      </x:c>
      <x:c r="F9" s="15" t="str">
        <x:v>開発者</x:v>
      </x:c>
    </x:row>
    <x:row r="10" ht="42" customHeight="1">
      <x:c r="B10" s="17" t="str">
        <x:v>T04</x:v>
      </x:c>
      <x:c r="C10" s="17" t="str">
        <x:v>受入確認</x:v>
      </x:c>
      <x:c r="D10" s="17" t="str">
        <x:v>代表的な契約と案件で操作し、要件・業務・報告書への適合を確認する。</x:v>
      </x:c>
      <x:c r="E10" s="17" t="str">
        <x:v>シナリオ結果、試行先の確認、残課題。</x:v>
      </x:c>
      <x:c r="F10" s="17" t="str">
        <x:v>開発者・試行先</x:v>
      </x:c>
    </x:row>
    <x:row r="11">
      <x:c r="B11" s="1"/>
      <x:c r="C11" s="1"/>
      <x:c r="D11" s="1"/>
      <x:c r="E11" s="1"/>
      <x:c r="F11" s="1"/>
    </x:row>
    <x:row r="12" ht="24.75" customHeight="1">
      <x:c r="B12" s="5" t="str">
        <x:v>2 初期版の受入条件</x:v>
      </x:c>
      <x:c r="C12" s="5"/>
      <x:c r="D12" s="5"/>
      <x:c r="E12" s="5"/>
      <x:c r="F12" s="5"/>
    </x:row>
    <x:row r="13" ht="30" customHeight="1">
      <x:c r="B13" s="12" t="str">
        <x:v>ID</x:v>
      </x:c>
      <x:c r="C13" s="19" t="str">
        <x:v>対象</x:v>
      </x:c>
      <x:c r="D13" s="19" t="str">
        <x:v>合格条件</x:v>
      </x:c>
      <x:c r="E13" s="19" t="str">
        <x:v>証跡と確認方法</x:v>
      </x:c>
      <x:c r="F13" s="13" t="str">
        <x:v>結果</x:v>
      </x:c>
    </x:row>
    <x:row r="14" ht="57" customHeight="1">
      <x:c r="B14" s="15" t="str">
        <x:v>A01</x:v>
      </x:c>
      <x:c r="C14" s="15" t="str">
        <x:v>業務全体</x:v>
      </x:c>
      <x:c r="D14" s="15" t="str">
        <x:v>顧客登録から問い合わせ受付、割当、返信、作業記録、解決・完了、月次報告公開まで一連で実行できる。</x:v>
      </x:c>
      <x:c r="E14" s="15" t="str">
        <x:v>代表シナリオの実行結果とデモ。</x:v>
      </x:c>
      <x:c r="F14" s="31" t="str">
        <x:v>未実施</x:v>
      </x:c>
    </x:row>
    <x:row r="15" ht="57" customHeight="1">
      <x:c r="B15" s="17" t="str">
        <x:v>A02</x:v>
      </x:c>
      <x:c r="C15" s="17" t="str">
        <x:v>情報分離</x:v>
      </x:c>
      <x:c r="D15" s="17" t="str">
        <x:v>最低2保守会社と各社の複数顧客で、他社・他顧客の一覧、検索、直接URL、更新、添付取得、帳票へのアクセスが拒否される。</x:v>
      </x:c>
      <x:c r="E15" s="17" t="str">
        <x:v>役割と所属の組合せを変えたアクセス検証。APIがある場合も確認する。</x:v>
      </x:c>
      <x:c r="F15" s="31" t="str">
        <x:v>未実施</x:v>
      </x:c>
    </x:row>
    <x:row r="16" ht="57" customHeight="1">
      <x:c r="B16" s="15" t="str">
        <x:v>A03</x:v>
      </x:c>
      <x:c r="C16" s="15" t="str">
        <x:v>社内情報</x:v>
      </x:c>
      <x:c r="D16" s="15" t="str">
        <x:v>顧客向け画面、返信、通知、月次報告、印刷、CSVに社内メモが含まれない。未公開報告を顧客が閲覧できない。</x:v>
      </x:c>
      <x:c r="E16" s="15" t="str">
        <x:v>顧客権限での閲覧と出力、直接取得の検証。</x:v>
      </x:c>
      <x:c r="F16" s="31" t="str">
        <x:v>未実施</x:v>
      </x:c>
    </x:row>
    <x:row r="17" ht="57" customHeight="1">
      <x:c r="B17" s="17" t="str">
        <x:v>A04</x:v>
      </x:c>
      <x:c r="C17" s="17" t="str">
        <x:v>期限計算</x:v>
      </x:c>
      <x:c r="D17" s="17" t="str">
        <x:v>営業時間外、休業日、受付時刻の境界、契約期間外のルールと初回返信判定が確定し、合意した期待値と一致する。</x:v>
      </x:c>
      <x:c r="E17" s="17" t="str">
        <x:v>境界日時を含むテストケースと結果。</x:v>
      </x:c>
      <x:c r="F17" s="31" t="str">
        <x:v>未実施</x:v>
      </x:c>
    </x:row>
    <x:row r="18" ht="57" customHeight="1">
      <x:c r="B18" s="15" t="str">
        <x:v>A05</x:v>
      </x:c>
      <x:c r="C18" s="15" t="str">
        <x:v>契約の履歴</x:v>
      </x:c>
      <x:c r="D18" s="15" t="str">
        <x:v>受付時点の契約条件が保持され、後日契約を変更しても過去案件の期限と評価が変わらない。</x:v>
      </x:c>
      <x:c r="E18" s="15" t="str">
        <x:v>契約変更前後の比較結果。</x:v>
      </x:c>
      <x:c r="F18" s="31" t="str">
        <x:v>未実施</x:v>
      </x:c>
    </x:row>
    <x:row r="19" ht="57" customHeight="1">
      <x:c r="B19" s="17" t="str">
        <x:v>A06</x:v>
      </x:c>
      <x:c r="C19" s="17" t="str">
        <x:v>月次報告</x:v>
      </x:c>
      <x:c r="D19" s="17" t="str">
        <x:v>対象期間・件数・作業時間・期限遵守状況が元データと一致する。画面・印刷・CSVが一致し、管理者確認後に対象顧客だけへ公開できる。</x:v>
      </x:c>
      <x:c r="E19" s="17" t="str">
        <x:v>元データとの照合、公開・訂正履歴、顧客別の閲覧検証。</x:v>
      </x:c>
      <x:c r="F19" s="31" t="str">
        <x:v>未実施</x:v>
      </x:c>
    </x:row>
    <x:row r="20" ht="57" customHeight="1">
      <x:c r="B20" s="15" t="str">
        <x:v>A07</x:v>
      </x:c>
      <x:c r="C20" s="15" t="str">
        <x:v>通知と再処理</x:v>
      </x:c>
      <x:c r="D20" s="15" t="str">
        <x:v>新規受付・返信・割当・期限接近・超過の通知が条件どおりに発生し、失敗を確認して再処理できる。意図しない二重送信を防げる。</x:v>
      </x:c>
      <x:c r="E20" s="15" t="str">
        <x:v>正常・送信失敗・再送の結果とログ。</x:v>
      </x:c>
      <x:c r="F20" s="31" t="str">
        <x:v>未実施</x:v>
      </x:c>
    </x:row>
    <x:row r="21" ht="57" customHeight="1">
      <x:c r="B21" s="17" t="str">
        <x:v>A08</x:v>
      </x:c>
      <x:c r="C21" s="17" t="str">
        <x:v>データ整合</x:v>
      </x:c>
      <x:c r="D21" s="17" t="str">
        <x:v>再送や同時操作で問い合わせ・作業記録が意図せず重複せず、状態・履歴・集計の不整合が残らない。</x:v>
      </x:c>
      <x:c r="E21" s="17" t="str">
        <x:v>再送と同時更新の検証、履歴・集計照合。</x:v>
      </x:c>
      <x:c r="F21" s="31" t="str">
        <x:v>未実施</x:v>
      </x:c>
    </x:row>
    <x:row r="22" ht="57" customHeight="1">
      <x:c r="B22" s="15" t="str">
        <x:v>A09</x:v>
      </x:c>
      <x:c r="C22" s="15" t="str">
        <x:v>運用と復元</x:v>
      </x:c>
      <x:c r="D22" s="15" t="str">
        <x:v>試行環境でバックアップからDBと添付データを復元できる。監視、障害調査、復旧、返却・削除、連絡の手順を用意する。</x:v>
      </x:c>
      <x:c r="E22" s="15" t="str">
        <x:v>復元結果、運用手順、合意した復旧目標。</x:v>
      </x:c>
      <x:c r="F22" s="31" t="str">
        <x:v>未実施</x:v>
      </x:c>
    </x:row>
    <x:row r="23" ht="57" customHeight="1">
      <x:c r="B23" s="17" t="str">
        <x:v>A10</x:v>
      </x:c>
      <x:c r="C23" s="17" t="str">
        <x:v>性能と利用制限</x:v>
      </x:c>
      <x:c r="D23" s="17" t="str">
        <x:v>想定するデータ量と同時利用条件で、要件定義で合意した応答時間・添付制限を満たす。</x:v>
      </x:c>
      <x:c r="E23" s="17" t="str">
        <x:v>性能測定の条件・結果、容量・種類・件数の境界検証。</x:v>
      </x:c>
      <x:c r="F23" s="31" t="str">
        <x:v>未実施</x:v>
      </x:c>
    </x:row>
    <x:row r="24" ht="57" customHeight="1">
      <x:c r="B24" s="15" t="str">
        <x:v>A11</x:v>
      </x:c>
      <x:c r="C24" s="15" t="str">
        <x:v>完成と試行開始</x:v>
      </x:c>
      <x:c r="D24" s="15" t="str">
        <x:v>情報漏えい、データ消失、主要業務の停止につながる重大不具合が解消され、残課題と対応予定が記録されている。手順と説明資料が揃っている。</x:v>
      </x:c>
      <x:c r="E24" s="15" t="str">
        <x:v>受入記録、不具合一覧、操作説明、試行可否の判断。</x:v>
      </x:c>
      <x:c r="F24" s="31" t="str">
        <x:v>未実施</x:v>
      </x:c>
    </x:row>
    <x:row r="25">
      <x:c r="B25" s="1"/>
      <x:c r="C25" s="1"/>
      <x:c r="D25" s="1"/>
      <x:c r="E25" s="1"/>
      <x:c r="F25" s="1"/>
    </x:row>
    <x:row r="26" ht="24.75" customHeight="1">
      <x:c r="B26" s="5" t="str">
        <x:v>3 要件定義で確定する品質条件</x:v>
      </x:c>
      <x:c r="C26" s="5"/>
      <x:c r="D26" s="5"/>
      <x:c r="E26" s="5"/>
      <x:c r="F26" s="5"/>
    </x:row>
    <x:row r="27" ht="30" customHeight="1">
      <x:c r="B27" s="12" t="str">
        <x:v>ID</x:v>
      </x:c>
      <x:c r="C27" s="19" t="str">
        <x:v>条件</x:v>
      </x:c>
      <x:c r="D27" s="19" t="str">
        <x:v>決める内容</x:v>
      </x:c>
      <x:c r="E27" s="19" t="str">
        <x:v>確認時点</x:v>
      </x:c>
      <x:c r="F27" s="13" t="str">
        <x:v>状態</x:v>
      </x:c>
    </x:row>
    <x:row r="28" ht="30" customHeight="1">
      <x:c r="B28" s="15" t="str">
        <x:v>Q01</x:v>
      </x:c>
      <x:c r="C28" s="15" t="str">
        <x:v>性能</x:v>
      </x:c>
      <x:c r="D28" s="15" t="str">
        <x:v>対象データ量、同時利用者数、対象操作、応答時間、測定環境。</x:v>
      </x:c>
      <x:c r="E28" s="15" t="str">
        <x:v>要件定義完了前。</x:v>
      </x:c>
      <x:c r="F28" s="15" t="str">
        <x:v>未確定</x:v>
      </x:c>
    </x:row>
    <x:row r="29" ht="30" customHeight="1">
      <x:c r="B29" s="17" t="str">
        <x:v>Q02</x:v>
      </x:c>
      <x:c r="C29" s="17" t="str">
        <x:v>添付と保存</x:v>
      </x:c>
      <x:c r="D29" s="17" t="str">
        <x:v>容量・種類・件数、ログ・履歴・データの保存期間、返却と削除。</x:v>
      </x:c>
      <x:c r="E29" s="17" t="str">
        <x:v>要件定義完了前。</x:v>
      </x:c>
      <x:c r="F29" s="17" t="str">
        <x:v>未確定</x:v>
      </x:c>
    </x:row>
    <x:row r="30" ht="42" customHeight="1">
      <x:c r="B30" s="15" t="str">
        <x:v>Q03</x:v>
      </x:c>
      <x:c r="C30" s="15" t="str">
        <x:v>復旧と運用</x:v>
      </x:c>
      <x:c r="D30" s="15" t="str">
        <x:v>バックアップ頻度、復旧時間・許容データ損失の目標、連絡先、サポート時間。</x:v>
      </x:c>
      <x:c r="E30" s="15" t="str">
        <x:v>要件定義で方針を決め、試行前に手順を確認。</x:v>
      </x:c>
      <x:c r="F30" s="15" t="str">
        <x:v>未確定</x:v>
      </x:c>
    </x:row>
    <x:row r="31">
      <x:c r="B31" s="1"/>
      <x:c r="C31" s="1"/>
      <x:c r="D31" s="1"/>
      <x:c r="E31" s="1"/>
      <x:c r="F31" s="1"/>
    </x:row>
    <x:row r="32">
      <x:c r="B32" s="1"/>
      <x:c r="C32" s="1"/>
      <x:c r="D32" s="1"/>
      <x:c r="E32" s="1"/>
      <x:c r="F32" s="1"/>
    </x:row>
    <x:row r="33">
      <x:c r="B33" s="1"/>
      <x:c r="C33" s="1"/>
      <x:c r="D33" s="1"/>
      <x:c r="E33" s="1"/>
      <x:c r="F33" s="1"/>
    </x:row>
    <x:row r="34">
      <x:c r="B34" s="1"/>
      <x:c r="C34" s="1"/>
      <x:c r="D34" s="1"/>
      <x:c r="E34" s="1"/>
      <x:c r="F34" s="1"/>
    </x:row>
    <x:row r="35">
      <x:c r="B35" s="1"/>
      <x:c r="C35" s="1"/>
      <x:c r="D35" s="1"/>
      <x:c r="E35" s="1"/>
      <x:c r="F35" s="1"/>
    </x:row>
    <x:row r="36">
      <x:c r="B36" s="1"/>
      <x:c r="C36" s="1"/>
      <x:c r="D36" s="1"/>
      <x:c r="E36" s="1"/>
      <x:c r="F36" s="1"/>
    </x:row>
    <x:row r="37">
      <x:c r="B37" s="1"/>
      <x:c r="C37" s="1"/>
      <x:c r="D37" s="1"/>
      <x:c r="E37" s="1"/>
      <x:c r="F37" s="1"/>
    </x:row>
    <x:row r="38">
      <x:c r="B38" s="1"/>
      <x:c r="C38" s="1"/>
      <x:c r="D38" s="1"/>
      <x:c r="E38" s="1"/>
      <x:c r="F38" s="1"/>
    </x:row>
    <x:row r="39">
      <x:c r="B39" s="1"/>
      <x:c r="C39" s="1"/>
      <x:c r="D39" s="1"/>
      <x:c r="E39" s="1"/>
      <x:c r="F39" s="1"/>
    </x:row>
    <x:row r="40">
      <x:c r="B40" s="1"/>
      <x:c r="C40" s="1"/>
      <x:c r="D40" s="1"/>
      <x:c r="E40" s="1"/>
      <x:c r="F40" s="1"/>
    </x:row>
    <x:row r="41">
      <x:c r="B41" s="1"/>
      <x:c r="C41" s="1"/>
      <x:c r="D41" s="1"/>
      <x:c r="E41" s="1"/>
      <x:c r="F41" s="1"/>
    </x:row>
    <x:row r="42">
      <x:c r="B42" s="1"/>
      <x:c r="C42" s="1"/>
      <x:c r="D42" s="1"/>
      <x:c r="E42" s="1"/>
      <x:c r="F42" s="1"/>
    </x:row>
    <x:row r="43">
      <x:c r="B43" s="1"/>
      <x:c r="C43" s="1"/>
      <x:c r="D43" s="1"/>
      <x:c r="E43" s="1"/>
      <x:c r="F43" s="1"/>
    </x:row>
    <x:row r="44">
      <x:c r="B44" s="1"/>
      <x:c r="C44" s="1"/>
      <x:c r="D44" s="1"/>
      <x:c r="E44" s="1"/>
      <x:c r="F44" s="1"/>
    </x:row>
    <x:row r="45">
      <x:c r="B45" s="1"/>
      <x:c r="C45" s="1"/>
      <x:c r="D45" s="1"/>
      <x:c r="E45" s="1"/>
      <x:c r="F45" s="1"/>
    </x:row>
    <x:row r="46">
      <x:c r="B46" s="1"/>
      <x:c r="C46" s="1"/>
      <x:c r="D46" s="1"/>
      <x:c r="E46" s="1"/>
      <x:c r="F46" s="1"/>
    </x:row>
    <x:row r="47">
      <x:c r="B47" s="1"/>
      <x:c r="C47" s="1"/>
      <x:c r="D47" s="1"/>
      <x:c r="E47" s="1"/>
      <x:c r="F47" s="1"/>
    </x:row>
    <x:row r="48">
      <x:c r="B48" s="1"/>
      <x:c r="C48" s="1"/>
      <x:c r="D48" s="1"/>
      <x:c r="E48" s="1"/>
      <x:c r="F48" s="1"/>
    </x:row>
    <x:row r="49">
      <x:c r="B49" s="1"/>
      <x:c r="C49" s="1"/>
      <x:c r="D49" s="1"/>
      <x:c r="E49" s="1"/>
      <x:c r="F49" s="1"/>
    </x:row>
    <x:row r="50">
      <x:c r="B50" s="1"/>
      <x:c r="C50" s="1"/>
      <x:c r="D50" s="1"/>
      <x:c r="E50" s="1"/>
      <x:c r="F50" s="1"/>
    </x:row>
    <x:row r="51">
      <x:c r="B51" s="1"/>
      <x:c r="C51" s="1"/>
      <x:c r="D51" s="1"/>
      <x:c r="E51" s="1"/>
      <x:c r="F51" s="1"/>
    </x:row>
    <x:row r="52">
      <x:c r="B52" s="1"/>
      <x:c r="C52" s="1"/>
      <x:c r="D52" s="1"/>
      <x:c r="E52" s="1"/>
      <x:c r="F52" s="1"/>
    </x:row>
    <x:row r="53">
      <x:c r="B53" s="1"/>
      <x:c r="C53" s="1"/>
      <x:c r="D53" s="1"/>
      <x:c r="E53" s="1"/>
      <x:c r="F53" s="1"/>
    </x:row>
    <x:row r="54">
      <x:c r="B54" s="1"/>
      <x:c r="C54" s="1"/>
      <x:c r="D54" s="1"/>
      <x:c r="E54" s="1"/>
      <x:c r="F54" s="1"/>
    </x:row>
    <x:row r="55">
      <x:c r="B55" s="1"/>
      <x:c r="C55" s="1"/>
      <x:c r="D55" s="1"/>
      <x:c r="E55" s="1"/>
      <x:c r="F55" s="1"/>
    </x:row>
    <x:row r="56">
      <x:c r="B56" s="1"/>
      <x:c r="C56" s="1"/>
      <x:c r="D56" s="1"/>
      <x:c r="E56" s="1"/>
      <x:c r="F56" s="1"/>
    </x:row>
    <x:row r="57">
      <x:c r="B57" s="1"/>
      <x:c r="C57" s="1"/>
      <x:c r="D57" s="1"/>
      <x:c r="E57" s="1"/>
      <x:c r="F57" s="1"/>
    </x:row>
    <x:row r="58">
      <x:c r="B58" s="1"/>
      <x:c r="C58" s="1"/>
      <x:c r="D58" s="1"/>
      <x:c r="E58" s="1"/>
      <x:c r="F58" s="1"/>
    </x:row>
    <x:row r="59">
      <x:c r="B59" s="1"/>
      <x:c r="C59" s="1"/>
      <x:c r="D59" s="1"/>
      <x:c r="E59" s="1"/>
      <x:c r="F59" s="1"/>
    </x:row>
    <x:row r="60">
      <x:c r="B60" s="1"/>
      <x:c r="C60" s="1"/>
      <x:c r="D60" s="1"/>
      <x:c r="E60" s="1"/>
      <x:c r="F60" s="1"/>
    </x:row>
    <x:row r="61">
      <x:c r="B61" s="1"/>
      <x:c r="C61" s="1"/>
      <x:c r="D61" s="1"/>
      <x:c r="E61" s="1"/>
      <x:c r="F61" s="1"/>
    </x:row>
    <x:row r="62">
      <x:c r="B62" s="1"/>
      <x:c r="C62" s="1"/>
      <x:c r="D62" s="1"/>
      <x:c r="E62" s="1"/>
      <x:c r="F62" s="1"/>
    </x:row>
    <x:row r="63">
      <x:c r="B63" s="1"/>
      <x:c r="C63" s="1"/>
      <x:c r="D63" s="1"/>
      <x:c r="E63" s="1"/>
      <x:c r="F63" s="1"/>
    </x:row>
    <x:row r="64">
      <x:c r="B64" s="1"/>
      <x:c r="C64" s="1"/>
      <x:c r="D64" s="1"/>
      <x:c r="E64" s="1"/>
      <x:c r="F64" s="1"/>
    </x:row>
    <x:row r="65">
      <x:c r="B65" s="1"/>
      <x:c r="C65" s="1"/>
      <x:c r="D65" s="1"/>
      <x:c r="E65" s="1"/>
      <x:c r="F65" s="1"/>
    </x:row>
    <x:row r="66">
      <x:c r="B66" s="1"/>
      <x:c r="C66" s="1"/>
      <x:c r="D66" s="1"/>
      <x:c r="E66" s="1"/>
      <x:c r="F66" s="1"/>
    </x:row>
    <x:row r="67">
      <x:c r="B67" s="1"/>
      <x:c r="C67" s="1"/>
      <x:c r="D67" s="1"/>
      <x:c r="E67" s="1"/>
      <x:c r="F67" s="1"/>
    </x:row>
    <x:row r="68">
      <x:c r="B68" s="1"/>
      <x:c r="C68" s="1"/>
      <x:c r="D68" s="1"/>
      <x:c r="E68" s="1"/>
      <x:c r="F68" s="1"/>
    </x:row>
    <x:row r="69">
      <x:c r="B69" s="1"/>
      <x:c r="C69" s="1"/>
      <x:c r="D69" s="1"/>
      <x:c r="E69" s="1"/>
      <x:c r="F69" s="1"/>
    </x:row>
    <x:row r="70">
      <x:c r="B70" s="1"/>
      <x:c r="C70" s="1"/>
      <x:c r="D70" s="1"/>
      <x:c r="E70" s="1"/>
      <x:c r="F70" s="1"/>
    </x:row>
    <x:row r="71">
      <x:c r="B71" s="1"/>
      <x:c r="C71" s="1"/>
      <x:c r="D71" s="1"/>
      <x:c r="E71" s="1"/>
      <x:c r="F71" s="1"/>
    </x:row>
    <x:row r="72">
      <x:c r="B72" s="1"/>
      <x:c r="C72" s="1"/>
      <x:c r="D72" s="1"/>
      <x:c r="E72" s="1"/>
      <x:c r="F72" s="1"/>
    </x:row>
    <x:row r="73">
      <x:c r="B73" s="1"/>
      <x:c r="C73" s="1"/>
      <x:c r="D73" s="1"/>
      <x:c r="E73" s="1"/>
      <x:c r="F73" s="1"/>
    </x:row>
    <x:row r="74">
      <x:c r="B74" s="1"/>
      <x:c r="C74" s="1"/>
      <x:c r="D74" s="1"/>
      <x:c r="E74" s="1"/>
      <x:c r="F74" s="1"/>
    </x:row>
    <x:row r="75">
      <x:c r="B75" s="1"/>
      <x:c r="C75" s="1"/>
      <x:c r="D75" s="1"/>
      <x:c r="E75" s="1"/>
      <x:c r="F75" s="1"/>
    </x:row>
    <x:row r="76">
      <x:c r="B76" s="1"/>
      <x:c r="C76" s="1"/>
      <x:c r="D76" s="1"/>
      <x:c r="E76" s="1"/>
      <x:c r="F76" s="1"/>
    </x:row>
    <x:row r="77">
      <x:c r="B77" s="1"/>
      <x:c r="C77" s="1"/>
      <x:c r="D77" s="1"/>
      <x:c r="E77" s="1"/>
      <x:c r="F77" s="1"/>
    </x:row>
    <x:row r="78">
      <x:c r="B78" s="1"/>
      <x:c r="C78" s="1"/>
      <x:c r="D78" s="1"/>
      <x:c r="E78" s="1"/>
      <x:c r="F78" s="1"/>
    </x:row>
    <x:row r="79">
      <x:c r="B79" s="1"/>
      <x:c r="C79" s="1"/>
      <x:c r="D79" s="1"/>
      <x:c r="E79" s="1"/>
      <x:c r="F79" s="1"/>
    </x:row>
    <x:row r="80">
      <x:c r="B80" s="1"/>
      <x:c r="C80" s="1"/>
      <x:c r="D80" s="1"/>
      <x:c r="E80" s="1"/>
      <x:c r="F80" s="1"/>
    </x:row>
    <x:row r="81">
      <x:c r="B81" s="1"/>
      <x:c r="C81" s="1"/>
      <x:c r="D81" s="1"/>
      <x:c r="E81" s="1"/>
      <x:c r="F81" s="1"/>
    </x:row>
    <x:row r="82">
      <x:c r="B82" s="1"/>
      <x:c r="C82" s="1"/>
      <x:c r="D82" s="1"/>
      <x:c r="E82" s="1"/>
      <x:c r="F82" s="1"/>
    </x:row>
    <x:row r="83">
      <x:c r="B83" s="1"/>
      <x:c r="C83" s="1"/>
      <x:c r="D83" s="1"/>
      <x:c r="E83" s="1"/>
      <x:c r="F83" s="1"/>
    </x:row>
    <x:row r="84">
      <x:c r="B84" s="1"/>
      <x:c r="C84" s="1"/>
      <x:c r="D84" s="1"/>
      <x:c r="E84" s="1"/>
      <x:c r="F84" s="1"/>
    </x:row>
    <x:row r="85">
      <x:c r="B85" s="1"/>
      <x:c r="C85" s="1"/>
      <x:c r="D85" s="1"/>
      <x:c r="E85" s="1"/>
      <x:c r="F85" s="1"/>
    </x:row>
    <x:row r="86">
      <x:c r="B86" s="1"/>
      <x:c r="C86" s="1"/>
      <x:c r="D86" s="1"/>
      <x:c r="E86" s="1"/>
      <x:c r="F86" s="1"/>
    </x:row>
    <x:row r="87">
      <x:c r="B87" s="1"/>
      <x:c r="C87" s="1"/>
      <x:c r="D87" s="1"/>
      <x:c r="E87" s="1"/>
      <x:c r="F87" s="1"/>
    </x:row>
    <x:row r="88">
      <x:c r="B88" s="1"/>
      <x:c r="C88" s="1"/>
      <x:c r="D88" s="1"/>
      <x:c r="E88" s="1"/>
      <x:c r="F88" s="1"/>
    </x:row>
    <x:row r="89">
      <x:c r="B89" s="1"/>
      <x:c r="C89" s="1"/>
      <x:c r="D89" s="1"/>
      <x:c r="E89" s="1"/>
      <x:c r="F89" s="1"/>
    </x:row>
    <x:row r="90">
      <x:c r="B90" s="1"/>
      <x:c r="C90" s="1"/>
      <x:c r="D90" s="1"/>
      <x:c r="E90" s="1"/>
      <x:c r="F90" s="1"/>
    </x:row>
  </x:sheetData>
  <x:dataValidations count="1">
    <x:dataValidation type="list" sqref="F14:F24">
      <x:formula1>"未実施,確認中,合格,不合格"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75" hidden="0" customWidth="1"/>
    <x:col min="2" max="2" width="6.880000114440918" hidden="0" customWidth="1"/>
    <x:col min="3" max="3" width="30.6299991607666" hidden="0" customWidth="1"/>
    <x:col min="4" max="4" width="24.3799991607666" hidden="0" customWidth="1"/>
    <x:col min="5" max="5" width="61.880001068115234" hidden="0" customWidth="1"/>
    <x:col min="6" max="6" width="27.5" hidden="0" customWidth="1"/>
  </x:cols>
  <x:sheetData>
    <x:row r="1" ht="9" customHeight="1">
      <x:c r="B1" s="1"/>
      <x:c r="C1" s="1"/>
      <x:c r="D1" s="1"/>
      <x:c r="E1" s="1"/>
      <x:c r="F1" s="1"/>
    </x:row>
    <x:row r="2" ht="25.5" customHeight="1">
      <x:c r="B2" s="3" t="str">
        <x:v>リスクと確認事項</x:v>
      </x:c>
      <x:c r="C2" s="3"/>
      <x:c r="D2" s="3"/>
      <x:c r="E2" s="3"/>
      <x:c r="F2" s="3"/>
    </x:row>
    <x:row r="3" ht="20.25" customHeight="1">
      <x:c r="B3" s="4" t="str">
        <x:v>リスクへの対応、未確定事項、計画の参照資料</x:v>
      </x:c>
      <x:c r="C3" s="4"/>
      <x:c r="D3" s="4"/>
      <x:c r="E3" s="4"/>
      <x:c r="F3" s="4"/>
    </x:row>
    <x:row r="4">
      <x:c r="B4" s="1"/>
      <x:c r="C4" s="1"/>
      <x:c r="D4" s="1"/>
      <x:c r="E4" s="1"/>
      <x:c r="F4" s="1"/>
    </x:row>
    <x:row r="5" ht="24.75" customHeight="1">
      <x:c r="B5" s="5" t="str">
        <x:v>1 主なリスクと対応</x:v>
      </x:c>
      <x:c r="C5" s="5"/>
      <x:c r="D5" s="5"/>
      <x:c r="E5" s="5"/>
      <x:c r="F5" s="5"/>
    </x:row>
    <x:row r="6" ht="30" customHeight="1">
      <x:c r="B6" s="12" t="str">
        <x:v>ID</x:v>
      </x:c>
      <x:c r="C6" s="19" t="str">
        <x:v>リスク</x:v>
      </x:c>
      <x:c r="D6" s="19" t="str">
        <x:v>影響・発見のきっかけ</x:v>
      </x:c>
      <x:c r="E6" s="19" t="str">
        <x:v>予防と発生時の対応</x:v>
      </x:c>
      <x:c r="F6" s="13" t="str">
        <x:v>責任者</x:v>
      </x:c>
    </x:row>
    <x:row r="7" ht="46.5" customHeight="1">
      <x:c r="B7" s="15" t="str">
        <x:v>R01</x:v>
      </x:c>
      <x:c r="C7" s="15" t="str">
        <x:v>機能範囲の拡大</x:v>
      </x:c>
      <x:c r="D7" s="15" t="str">
        <x:v>追加要望で初期版の工数が増える。</x:v>
      </x:c>
      <x:c r="E7" s="15" t="str">
        <x:v>初期範囲を固定し、変更の影響と工数を確認する。必要な変更は計画を更新し、拡張は次期候補へ移す。</x:v>
      </x:c>
      <x:c r="F7" s="15" t="str">
        <x:v>開発者</x:v>
      </x:c>
    </x:row>
    <x:row r="8" ht="46.5" customHeight="1">
      <x:c r="B8" s="17" t="str">
        <x:v>R02</x:v>
      </x:c>
      <x:c r="C8" s="17" t="str">
        <x:v>期限計算の複雑化</x:v>
      </x:c>
      <x:c r="D8" s="17" t="str">
        <x:v>代表契約でルールや期待値が決まらない。</x:v>
      </x:c>
      <x:c r="E8" s="17" t="str">
        <x:v>初回返信に絞り、営業時間・休業日・契約期間を早期に確認する。基本設計までに技術検証し、対象範囲を調整する。</x:v>
      </x:c>
      <x:c r="F8" s="17" t="str">
        <x:v>開発者・試行先</x:v>
      </x:c>
    </x:row>
    <x:row r="9" ht="46.5" customHeight="1">
      <x:c r="B9" s="15" t="str">
        <x:v>R03</x:v>
      </x:c>
      <x:c r="C9" s="15" t="str">
        <x:v>情報分離の不備</x:v>
      </x:c>
      <x:c r="D9" s="15" t="str">
        <x:v>他の保守会社・顧客のデータが取得できる。</x:v>
      </x:c>
      <x:c r="E9" s="15" t="str">
        <x:v>サーバー側で所属と権限を確認し、複数所属のデータで検証する。不備があれば試行を開始せず、修正・再テストする。</x:v>
      </x:c>
      <x:c r="F9" s="15" t="str">
        <x:v>開発者</x:v>
      </x:c>
    </x:row>
    <x:row r="10" ht="46.5" customHeight="1">
      <x:c r="B10" s="17" t="str">
        <x:v>R04</x:v>
      </x:c>
      <x:c r="C10" s="17" t="str">
        <x:v>通知・定期処理の失敗</x:v>
      </x:c>
      <x:c r="D10" s="17" t="str">
        <x:v>通知されない、または二重に送信される。</x:v>
      </x:c>
      <x:c r="E10" s="17" t="str">
        <x:v>処理結果を記録し、失敗を監視する。再処理条件を定め、失敗・再送を検証する。</x:v>
      </x:c>
      <x:c r="F10" s="17" t="str">
        <x:v>開発者</x:v>
      </x:c>
    </x:row>
    <x:row r="11" ht="46.5" customHeight="1">
      <x:c r="B11" s="15" t="str">
        <x:v>R05</x:v>
      </x:c>
      <x:c r="C11" s="15" t="str">
        <x:v>報告集計の不整合</x:v>
      </x:c>
      <x:c r="D11" s="15" t="str">
        <x:v>訂正前後の報告や元データが一致しない。</x:v>
      </x:c>
      <x:c r="E11" s="15" t="str">
        <x:v>集計対象と公開・訂正ルールを確定し、元データと出力を照合する。不一致の報告は公開を止めて修正する。</x:v>
      </x:c>
      <x:c r="F11" s="15" t="str">
        <x:v>開発者・試行先</x:v>
      </x:c>
    </x:row>
    <x:row r="12" ht="46.5" customHeight="1">
      <x:c r="B12" s="17" t="str">
        <x:v>R06</x:v>
      </x:c>
      <x:c r="C12" s="17" t="str">
        <x:v>学習・技術検証の遅れ</x:v>
      </x:c>
      <x:c r="D12" s="17" t="str">
        <x:v>主要技術で実装が進まない。</x:v>
      </x:c>
      <x:c r="E12" s="17" t="str">
        <x:v>認証・期限計算・通知・報告の技術検証を早期に行う。見積もりを見直し、予備の使用理由と残量を記録する。</x:v>
      </x:c>
      <x:c r="F12" s="17" t="str">
        <x:v>開発者</x:v>
      </x:c>
    </x:row>
    <x:row r="13" ht="46.5" customHeight="1">
      <x:c r="B13" s="15" t="str">
        <x:v>R07</x:v>
      </x:c>
      <x:c r="C13" s="15" t="str">
        <x:v>個人開発と運用の集中</x:v>
      </x:c>
      <x:c r="D13" s="15" t="str">
        <x:v>障害対応や利用者支援で開発が遅れる。</x:v>
      </x:c>
      <x:c r="E13" s="15" t="str">
        <x:v>試行先と対象顧客を限定し、サポート時間・連絡方法を決める。運用工数は開発と分けて把握し、提供範囲を見直す。</x:v>
      </x:c>
      <x:c r="F13" s="15" t="str">
        <x:v>開発者</x:v>
      </x:c>
    </x:row>
    <x:row r="14" ht="46.5" customHeight="1">
      <x:c r="B14" s="17" t="str">
        <x:v>R08</x:v>
      </x:c>
      <x:c r="C14" s="17" t="str">
        <x:v>試行先・評価条件の未確定</x:v>
      </x:c>
      <x:c r="D14" s="17" t="str">
        <x:v>導入日程や効果の比較が決まらない。</x:v>
      </x:c>
      <x:c r="E14" s="17" t="str">
        <x:v>候補企業を確保し、導入前の測定を依頼する。未確保の場合は検証データで初期版を評価し、企業への試行開始を別途計画する。</x:v>
      </x:c>
      <x:c r="F14" s="17" t="str">
        <x:v>開発者</x:v>
      </x:c>
    </x:row>
    <x:row r="15">
      <x:c r="B15" s="1"/>
      <x:c r="C15" s="1"/>
      <x:c r="D15" s="1"/>
      <x:c r="E15" s="1"/>
      <x:c r="F15" s="1"/>
    </x:row>
    <x:row r="16" ht="24.75" customHeight="1">
      <x:c r="B16" s="5" t="str">
        <x:v>2 未確定事項と決定時点</x:v>
      </x:c>
      <x:c r="C16" s="5"/>
      <x:c r="D16" s="5"/>
      <x:c r="E16" s="5"/>
      <x:c r="F16" s="5"/>
    </x:row>
    <x:row r="17" ht="30" customHeight="1">
      <x:c r="B17" s="12" t="str">
        <x:v>ID</x:v>
      </x:c>
      <x:c r="C17" s="19" t="str">
        <x:v>確認事項</x:v>
      </x:c>
      <x:c r="D17" s="19" t="str">
        <x:v>決定期限</x:v>
      </x:c>
      <x:c r="E17" s="19" t="str">
        <x:v>確認する内容</x:v>
      </x:c>
      <x:c r="F17" s="13" t="str">
        <x:v>担当と状態</x:v>
      </x:c>
    </x:row>
    <x:row r="18" ht="45" customHeight="1">
      <x:c r="B18" s="15" t="str">
        <x:v>U01</x:v>
      </x:c>
      <x:c r="C18" s="15" t="str">
        <x:v>開始日と作業時間</x:v>
      </x:c>
      <x:c r="D18" s="15" t="str">
        <x:v>開発着手前</x:v>
      </x:c>
      <x:c r="E18" s="15" t="str">
        <x:v>開始日、週あたりの作業時間を確保できるか、完了希望日、予備の扱い。</x:v>
      </x:c>
      <x:c r="F18" s="15" t="str">
        <x:v>開発者 未確定</x:v>
      </x:c>
    </x:row>
    <x:row r="19" ht="45" customHeight="1">
      <x:c r="B19" s="17" t="str">
        <x:v>U02</x:v>
      </x:c>
      <x:c r="C19" s="17" t="str">
        <x:v>顧客の閲覧範囲</x:v>
      </x:c>
      <x:c r="D19" s="17" t="str">
        <x:v>要件定義完了前</x:v>
      </x:c>
      <x:c r="E19" s="17" t="str">
        <x:v>顧客窓口が自分の案件だけを見るか、自社全体の案件を見るか。</x:v>
      </x:c>
      <x:c r="F19" s="17" t="str">
        <x:v>開発者・試行先 未確定</x:v>
      </x:c>
    </x:row>
    <x:row r="20" ht="45" customHeight="1">
      <x:c r="B20" s="15" t="str">
        <x:v>U03</x:v>
      </x:c>
      <x:c r="C20" s="15" t="str">
        <x:v>契約と期限のルール</x:v>
      </x:c>
      <x:c r="D20" s="15" t="str">
        <x:v>要件定義完了前</x:v>
      </x:c>
      <x:c r="E20" s="15" t="str">
        <x:v>営業時間、休業日、契約期間外の受付、初回返信と認める操作。</x:v>
      </x:c>
      <x:c r="F20" s="15" t="str">
        <x:v>開発者・試行先 未確定</x:v>
      </x:c>
    </x:row>
    <x:row r="21" ht="45" customHeight="1">
      <x:c r="B21" s="17" t="str">
        <x:v>U04</x:v>
      </x:c>
      <x:c r="C21" s="17" t="str">
        <x:v>案件状態と権限</x:v>
      </x:c>
      <x:c r="D21" s="17" t="str">
        <x:v>要件定義完了前</x:v>
      </x:c>
      <x:c r="E21" s="17" t="str">
        <x:v>状態遷移、再開・解決・完了条件、割当・添付・作業記録・メモの操作権限。</x:v>
      </x:c>
      <x:c r="F21" s="17" t="str">
        <x:v>開発者・試行先 未確定</x:v>
      </x:c>
    </x:row>
    <x:row r="22" ht="45" customHeight="1">
      <x:c r="B22" s="15" t="str">
        <x:v>U05</x:v>
      </x:c>
      <x:c r="C22" s="15" t="str">
        <x:v>報告と通知の条件</x:v>
      </x:c>
      <x:c r="D22" s="15" t="str">
        <x:v>要件定義完了前</x:v>
      </x:c>
      <x:c r="E22" s="15" t="str">
        <x:v>帳票様式、集計期間と訂正・公開ルール、通知先・条件・再送。</x:v>
      </x:c>
      <x:c r="F22" s="15" t="str">
        <x:v>開発者・試行先 未確定</x:v>
      </x:c>
    </x:row>
    <x:row r="23" ht="45" customHeight="1">
      <x:c r="B23" s="17" t="str">
        <x:v>U06</x:v>
      </x:c>
      <x:c r="C23" s="17" t="str">
        <x:v>性能と運用条件</x:v>
      </x:c>
      <x:c r="D23" s="17" t="str">
        <x:v>要件定義完了前</x:v>
      </x:c>
      <x:c r="E23" s="17" t="str">
        <x:v>利用規模、応答時間、添付制限、保存期間、復旧目標、返却・削除。</x:v>
      </x:c>
      <x:c r="F23" s="17" t="str">
        <x:v>開発者・試行先 未確定</x:v>
      </x:c>
    </x:row>
    <x:row r="24" ht="45" customHeight="1">
      <x:c r="B24" s="15" t="str">
        <x:v>U07</x:v>
      </x:c>
      <x:c r="C24" s="15" t="str">
        <x:v>構成と費用</x:v>
      </x:c>
      <x:c r="D24" s="15" t="str">
        <x:v>基本設計完了前</x:v>
      </x:c>
      <x:c r="E24" s="15" t="str">
        <x:v>製品バージョン、試行環境、保存・メール方式、見積もり、予算上限。</x:v>
      </x:c>
      <x:c r="F24" s="15" t="str">
        <x:v>開発者 未確定</x:v>
      </x:c>
    </x:row>
    <x:row r="25" ht="45" customHeight="1">
      <x:c r="B25" s="17" t="str">
        <x:v>U08</x:v>
      </x:c>
      <x:c r="C25" s="17" t="str">
        <x:v>試行と効果測定</x:v>
      </x:c>
      <x:c r="D25" s="17" t="str">
        <x:v>試行開始前</x:v>
      </x:c>
      <x:c r="E25" s="17" t="str">
        <x:v>協力企業、対象顧客・案件、慣熟期間、測定期間、目標、運用担当、サポート時間。</x:v>
      </x:c>
      <x:c r="F25" s="17" t="str">
        <x:v>開発者・試行先 未確定</x:v>
      </x:c>
    </x:row>
    <x:row r="26">
      <x:c r="B26" s="1"/>
      <x:c r="C26" s="1"/>
      <x:c r="D26" s="1"/>
      <x:c r="E26" s="1"/>
      <x:c r="F26" s="1"/>
    </x:row>
    <x:row r="27" ht="24.75" customHeight="1">
      <x:c r="B27" s="5" t="str">
        <x:v>3 参照資料と更新方針</x:v>
      </x:c>
      <x:c r="C27" s="5"/>
      <x:c r="D27" s="5"/>
      <x:c r="E27" s="5"/>
      <x:c r="F27" s="5"/>
    </x:row>
    <x:row r="28" ht="30" customHeight="1">
      <x:c r="B28" s="12" t="str">
        <x:v>ID</x:v>
      </x:c>
      <x:c r="C28" s="19" t="str">
        <x:v>資料または更新項目</x:v>
      </x:c>
      <x:c r="D28" s="19" t="str">
        <x:v>版と時点</x:v>
      </x:c>
      <x:c r="E28" s="19" t="str">
        <x:v>利用する内容</x:v>
      </x:c>
      <x:c r="F28" s="13" t="str">
        <x:v>管理担当</x:v>
      </x:c>
    </x:row>
    <x:row r="29" ht="30" customHeight="1">
      <x:c r="B29" s="15" t="str">
        <x:v>S01</x:v>
      </x:c>
      <x:c r="C29" s="15" t="str">
        <x:v>IT保守対応管理システム 企画書</x:v>
      </x:c>
      <x:c r="D29" s="15" t="str">
        <x:v>第1版 2026年9月13日</x:v>
      </x:c>
      <x:c r="E29" s="15" t="str">
        <x:v>目的、対象企業、初期機能、範囲、開発計画、リスク、完成条件。</x:v>
      </x:c>
      <x:c r="F29" s="15" t="str">
        <x:v>開発者</x:v>
      </x:c>
    </x:row>
    <x:row r="30" ht="30" customHeight="1">
      <x:c r="B30" s="17" t="str">
        <x:v>S02</x:v>
      </x:c>
      <x:c r="C30" s="17" t="str">
        <x:v>keepiaの名称</x:v>
      </x:c>
      <x:c r="D30" s="17" t="str">
        <x:v>2026年9月14日の名称検討</x:v>
      </x:c>
      <x:c r="E30" s="17" t="str">
        <x:v>表示名はキーピア、開発・文書上のアプリ名はkeepia。</x:v>
      </x:c>
      <x:c r="F30" s="17" t="str">
        <x:v>開発者</x:v>
      </x:c>
    </x:row>
    <x:row r="31" ht="42" customHeight="1">
      <x:c r="B31" s="15" t="str">
        <x:v>S03</x:v>
      </x:c>
      <x:c r="C31" s="15" t="str">
        <x:v>計画の更新</x:v>
      </x:c>
      <x:c r="D31" s="15" t="str">
        <x:v>要件・基本設計完了時と変更発生時</x:v>
      </x:c>
      <x:c r="E31" s="15" t="str">
        <x:v>計画版、更新日、理由、工数・日程・範囲への影響を記録する。</x:v>
      </x:c>
      <x:c r="F31" s="15" t="str">
        <x:v>開発者</x:v>
      </x:c>
    </x:row>
    <x:row r="32">
      <x:c r="B32" s="1"/>
      <x:c r="C32" s="1"/>
      <x:c r="D32" s="1"/>
      <x:c r="E32" s="1"/>
      <x:c r="F32" s="1"/>
    </x:row>
    <x:row r="33">
      <x:c r="B33" s="1"/>
      <x:c r="C33" s="1"/>
      <x:c r="D33" s="1"/>
      <x:c r="E33" s="1"/>
      <x:c r="F33" s="1"/>
    </x:row>
    <x:row r="34">
      <x:c r="B34" s="1"/>
      <x:c r="C34" s="1"/>
      <x:c r="D34" s="1"/>
      <x:c r="E34" s="1"/>
      <x:c r="F34" s="1"/>
    </x:row>
    <x:row r="35">
      <x:c r="B35" s="1"/>
      <x:c r="C35" s="1"/>
      <x:c r="D35" s="1"/>
      <x:c r="E35" s="1"/>
      <x:c r="F35" s="1"/>
    </x:row>
    <x:row r="36">
      <x:c r="B36" s="1"/>
      <x:c r="C36" s="1"/>
      <x:c r="D36" s="1"/>
      <x:c r="E36" s="1"/>
      <x:c r="F36" s="1"/>
    </x:row>
    <x:row r="37">
      <x:c r="B37" s="1"/>
      <x:c r="C37" s="1"/>
      <x:c r="D37" s="1"/>
      <x:c r="E37" s="1"/>
      <x:c r="F37" s="1"/>
    </x:row>
    <x:row r="38">
      <x:c r="B38" s="1"/>
      <x:c r="C38" s="1"/>
      <x:c r="D38" s="1"/>
      <x:c r="E38" s="1"/>
      <x:c r="F38" s="1"/>
    </x:row>
    <x:row r="39">
      <x:c r="B39" s="1"/>
      <x:c r="C39" s="1"/>
      <x:c r="D39" s="1"/>
      <x:c r="E39" s="1"/>
      <x:c r="F39" s="1"/>
    </x:row>
    <x:row r="40">
      <x:c r="B40" s="1"/>
      <x:c r="C40" s="1"/>
      <x:c r="D40" s="1"/>
      <x:c r="E40" s="1"/>
      <x:c r="F40" s="1"/>
    </x:row>
    <x:row r="41">
      <x:c r="B41" s="1"/>
      <x:c r="C41" s="1"/>
      <x:c r="D41" s="1"/>
      <x:c r="E41" s="1"/>
      <x:c r="F41" s="1"/>
    </x:row>
    <x:row r="42">
      <x:c r="B42" s="1"/>
      <x:c r="C42" s="1"/>
      <x:c r="D42" s="1"/>
      <x:c r="E42" s="1"/>
      <x:c r="F42" s="1"/>
    </x:row>
    <x:row r="43">
      <x:c r="B43" s="1"/>
      <x:c r="C43" s="1"/>
      <x:c r="D43" s="1"/>
      <x:c r="E43" s="1"/>
      <x:c r="F43" s="1"/>
    </x:row>
    <x:row r="44">
      <x:c r="B44" s="1"/>
      <x:c r="C44" s="1"/>
      <x:c r="D44" s="1"/>
      <x:c r="E44" s="1"/>
      <x:c r="F44" s="1"/>
    </x:row>
    <x:row r="45">
      <x:c r="B45" s="1"/>
      <x:c r="C45" s="1"/>
      <x:c r="D45" s="1"/>
      <x:c r="E45" s="1"/>
      <x:c r="F45" s="1"/>
    </x:row>
    <x:row r="46">
      <x:c r="B46" s="1"/>
      <x:c r="C46" s="1"/>
      <x:c r="D46" s="1"/>
      <x:c r="E46" s="1"/>
      <x:c r="F46" s="1"/>
    </x:row>
    <x:row r="47">
      <x:c r="B47" s="1"/>
      <x:c r="C47" s="1"/>
      <x:c r="D47" s="1"/>
      <x:c r="E47" s="1"/>
      <x:c r="F47" s="1"/>
    </x:row>
    <x:row r="48">
      <x:c r="B48" s="1"/>
      <x:c r="C48" s="1"/>
      <x:c r="D48" s="1"/>
      <x:c r="E48" s="1"/>
      <x:c r="F48" s="1"/>
    </x:row>
    <x:row r="49">
      <x:c r="B49" s="1"/>
      <x:c r="C49" s="1"/>
      <x:c r="D49" s="1"/>
      <x:c r="E49" s="1"/>
      <x:c r="F49" s="1"/>
    </x:row>
    <x:row r="50">
      <x:c r="B50" s="1"/>
      <x:c r="C50" s="1"/>
      <x:c r="D50" s="1"/>
      <x:c r="E50" s="1"/>
      <x:c r="F50" s="1"/>
    </x:row>
    <x:row r="51">
      <x:c r="B51" s="1"/>
      <x:c r="C51" s="1"/>
      <x:c r="D51" s="1"/>
      <x:c r="E51" s="1"/>
      <x:c r="F51" s="1"/>
    </x:row>
    <x:row r="52">
      <x:c r="B52" s="1"/>
      <x:c r="C52" s="1"/>
      <x:c r="D52" s="1"/>
      <x:c r="E52" s="1"/>
      <x:c r="F52" s="1"/>
    </x:row>
    <x:row r="53">
      <x:c r="B53" s="1"/>
      <x:c r="C53" s="1"/>
      <x:c r="D53" s="1"/>
      <x:c r="E53" s="1"/>
      <x:c r="F53" s="1"/>
    </x:row>
    <x:row r="54">
      <x:c r="B54" s="1"/>
      <x:c r="C54" s="1"/>
      <x:c r="D54" s="1"/>
      <x:c r="E54" s="1"/>
      <x:c r="F54" s="1"/>
    </x:row>
    <x:row r="55">
      <x:c r="B55" s="1"/>
      <x:c r="C55" s="1"/>
      <x:c r="D55" s="1"/>
      <x:c r="E55" s="1"/>
      <x:c r="F55" s="1"/>
    </x:row>
    <x:row r="56">
      <x:c r="B56" s="1"/>
      <x:c r="C56" s="1"/>
      <x:c r="D56" s="1"/>
      <x:c r="E56" s="1"/>
      <x:c r="F56" s="1"/>
    </x:row>
    <x:row r="57">
      <x:c r="B57" s="1"/>
      <x:c r="C57" s="1"/>
      <x:c r="D57" s="1"/>
      <x:c r="E57" s="1"/>
      <x:c r="F57" s="1"/>
    </x:row>
    <x:row r="58">
      <x:c r="B58" s="1"/>
      <x:c r="C58" s="1"/>
      <x:c r="D58" s="1"/>
      <x:c r="E58" s="1"/>
      <x:c r="F58" s="1"/>
    </x:row>
    <x:row r="59">
      <x:c r="B59" s="1"/>
      <x:c r="C59" s="1"/>
      <x:c r="D59" s="1"/>
      <x:c r="E59" s="1"/>
      <x:c r="F59" s="1"/>
    </x:row>
    <x:row r="60">
      <x:c r="B60" s="1"/>
      <x:c r="C60" s="1"/>
      <x:c r="D60" s="1"/>
      <x:c r="E60" s="1"/>
      <x:c r="F60" s="1"/>
    </x:row>
    <x:row r="61">
      <x:c r="B61" s="1"/>
      <x:c r="C61" s="1"/>
      <x:c r="D61" s="1"/>
      <x:c r="E61" s="1"/>
      <x:c r="F61" s="1"/>
    </x:row>
    <x:row r="62">
      <x:c r="B62" s="1"/>
      <x:c r="C62" s="1"/>
      <x:c r="D62" s="1"/>
      <x:c r="E62" s="1"/>
      <x:c r="F62" s="1"/>
    </x:row>
    <x:row r="63">
      <x:c r="B63" s="1"/>
      <x:c r="C63" s="1"/>
      <x:c r="D63" s="1"/>
      <x:c r="E63" s="1"/>
      <x:c r="F63" s="1"/>
    </x:row>
    <x:row r="64">
      <x:c r="B64" s="1"/>
      <x:c r="C64" s="1"/>
      <x:c r="D64" s="1"/>
      <x:c r="E64" s="1"/>
      <x:c r="F64" s="1"/>
    </x:row>
    <x:row r="65">
      <x:c r="B65" s="1"/>
      <x:c r="C65" s="1"/>
      <x:c r="D65" s="1"/>
      <x:c r="E65" s="1"/>
      <x:c r="F65" s="1"/>
    </x:row>
    <x:row r="66">
      <x:c r="B66" s="1"/>
      <x:c r="C66" s="1"/>
      <x:c r="D66" s="1"/>
      <x:c r="E66" s="1"/>
      <x:c r="F66" s="1"/>
    </x:row>
    <x:row r="67">
      <x:c r="B67" s="1"/>
      <x:c r="C67" s="1"/>
      <x:c r="D67" s="1"/>
      <x:c r="E67" s="1"/>
      <x:c r="F67" s="1"/>
    </x:row>
    <x:row r="68">
      <x:c r="B68" s="1"/>
      <x:c r="C68" s="1"/>
      <x:c r="D68" s="1"/>
      <x:c r="E68" s="1"/>
      <x:c r="F68" s="1"/>
    </x:row>
    <x:row r="69">
      <x:c r="B69" s="1"/>
      <x:c r="C69" s="1"/>
      <x:c r="D69" s="1"/>
      <x:c r="E69" s="1"/>
      <x:c r="F69" s="1"/>
    </x:row>
    <x:row r="70">
      <x:c r="B70" s="1"/>
      <x:c r="C70" s="1"/>
      <x:c r="D70" s="1"/>
      <x:c r="E70" s="1"/>
      <x:c r="F70" s="1"/>
    </x:row>
    <x:row r="71">
      <x:c r="B71" s="1"/>
      <x:c r="C71" s="1"/>
      <x:c r="D71" s="1"/>
      <x:c r="E71" s="1"/>
      <x:c r="F71" s="1"/>
    </x:row>
    <x:row r="72">
      <x:c r="B72" s="1"/>
      <x:c r="C72" s="1"/>
      <x:c r="D72" s="1"/>
      <x:c r="E72" s="1"/>
      <x:c r="F72" s="1"/>
    </x:row>
    <x:row r="73">
      <x:c r="B73" s="1"/>
      <x:c r="C73" s="1"/>
      <x:c r="D73" s="1"/>
      <x:c r="E73" s="1"/>
      <x:c r="F73" s="1"/>
    </x:row>
    <x:row r="74">
      <x:c r="B74" s="1"/>
      <x:c r="C74" s="1"/>
      <x:c r="D74" s="1"/>
      <x:c r="E74" s="1"/>
      <x:c r="F74" s="1"/>
    </x:row>
    <x:row r="75">
      <x:c r="B75" s="1"/>
      <x:c r="C75" s="1"/>
      <x:c r="D75" s="1"/>
      <x:c r="E75" s="1"/>
      <x:c r="F75" s="1"/>
    </x:row>
    <x:row r="76">
      <x:c r="B76" s="1"/>
      <x:c r="C76" s="1"/>
      <x:c r="D76" s="1"/>
      <x:c r="E76" s="1"/>
      <x:c r="F76" s="1"/>
    </x:row>
    <x:row r="77">
      <x:c r="B77" s="1"/>
      <x:c r="C77" s="1"/>
      <x:c r="D77" s="1"/>
      <x:c r="E77" s="1"/>
      <x:c r="F77" s="1"/>
    </x:row>
    <x:row r="78">
      <x:c r="B78" s="1"/>
      <x:c r="C78" s="1"/>
      <x:c r="D78" s="1"/>
      <x:c r="E78" s="1"/>
      <x:c r="F78" s="1"/>
    </x:row>
    <x:row r="79">
      <x:c r="B79" s="1"/>
      <x:c r="C79" s="1"/>
      <x:c r="D79" s="1"/>
      <x:c r="E79" s="1"/>
      <x:c r="F79" s="1"/>
    </x:row>
    <x:row r="80">
      <x:c r="B80" s="1"/>
      <x:c r="C80" s="1"/>
      <x:c r="D80" s="1"/>
      <x:c r="E80" s="1"/>
      <x:c r="F80" s="1"/>
    </x:row>
    <x:row r="81">
      <x:c r="B81" s="1"/>
      <x:c r="C81" s="1"/>
      <x:c r="D81" s="1"/>
      <x:c r="E81" s="1"/>
      <x:c r="F81" s="1"/>
    </x:row>
    <x:row r="82">
      <x:c r="B82" s="1"/>
      <x:c r="C82" s="1"/>
      <x:c r="D82" s="1"/>
      <x:c r="E82" s="1"/>
      <x:c r="F82" s="1"/>
    </x:row>
    <x:row r="83">
      <x:c r="B83" s="1"/>
      <x:c r="C83" s="1"/>
      <x:c r="D83" s="1"/>
      <x:c r="E83" s="1"/>
      <x:c r="F83" s="1"/>
    </x:row>
    <x:row r="84">
      <x:c r="B84" s="1"/>
      <x:c r="C84" s="1"/>
      <x:c r="D84" s="1"/>
      <x:c r="E84" s="1"/>
      <x:c r="F84" s="1"/>
    </x:row>
    <x:row r="85">
      <x:c r="B85" s="1"/>
      <x:c r="C85" s="1"/>
      <x:c r="D85" s="1"/>
      <x:c r="E85" s="1"/>
      <x:c r="F85" s="1"/>
    </x:row>
    <x:row r="86">
      <x:c r="B86" s="1"/>
      <x:c r="C86" s="1"/>
      <x:c r="D86" s="1"/>
      <x:c r="E86" s="1"/>
      <x:c r="F86" s="1"/>
    </x:row>
    <x:row r="87">
      <x:c r="B87" s="1"/>
      <x:c r="C87" s="1"/>
      <x:c r="D87" s="1"/>
      <x:c r="E87" s="1"/>
      <x:c r="F87" s="1"/>
    </x:row>
    <x:row r="88">
      <x:c r="B88" s="1"/>
      <x:c r="C88" s="1"/>
      <x:c r="D88" s="1"/>
      <x:c r="E88" s="1"/>
      <x:c r="F88" s="1"/>
    </x:row>
    <x:row r="89">
      <x:c r="B89" s="1"/>
      <x:c r="C89" s="1"/>
      <x:c r="D89" s="1"/>
      <x:c r="E89" s="1"/>
      <x:c r="F89" s="1"/>
    </x:row>
    <x:row r="90">
      <x:c r="B90" s="1"/>
      <x:c r="C90" s="1"/>
      <x:c r="D90" s="1"/>
      <x:c r="E90" s="1"/>
      <x:c r="F90" s="1"/>
    </x:row>
  </x:sheetData>
  <x:pageMargins left="0.7" right="0.7" top="0.75" bottom="0.75" header="0.3" footer="0.3"/>
</x:worksheet>
</file>